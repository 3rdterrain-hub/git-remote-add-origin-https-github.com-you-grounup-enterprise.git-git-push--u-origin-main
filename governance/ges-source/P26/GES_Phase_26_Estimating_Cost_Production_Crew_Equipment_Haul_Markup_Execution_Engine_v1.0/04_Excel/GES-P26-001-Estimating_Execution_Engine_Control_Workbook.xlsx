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b68aaf23b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3c7ac37ac348a9"/>
    <x:sheet xmlns:r="http://schemas.openxmlformats.org/officeDocument/2006/relationships" name="Requirements" sheetId="2" r:id="Rdb15480b50f04b45"/>
    <x:sheet xmlns:r="http://schemas.openxmlformats.org/officeDocument/2006/relationships" name="Tests" sheetId="3" r:id="R4f593961f33249e6"/>
    <x:sheet xmlns:r="http://schemas.openxmlformats.org/officeDocument/2006/relationships" name="Traceability" sheetId="4" r:id="R45b548f0cc6e47d6"/>
    <x:sheet xmlns:r="http://schemas.openxmlformats.org/officeDocument/2006/relationships" name="Modules" sheetId="5" r:id="R23fe1f42d2ae4f38"/>
    <x:sheet xmlns:r="http://schemas.openxmlformats.org/officeDocument/2006/relationships" name="Entities" sheetId="6" r:id="Rbbfe30e4b2a34215"/>
    <x:sheet xmlns:r="http://schemas.openxmlformats.org/officeDocument/2006/relationships" name="APIs" sheetId="7" r:id="R055ac7fa05b14e4c"/>
    <x:sheet xmlns:r="http://schemas.openxmlformats.org/officeDocument/2006/relationships" name="Events" sheetId="8" r:id="Re0314c91ce584342"/>
    <x:sheet xmlns:r="http://schemas.openxmlformats.org/officeDocument/2006/relationships" name="Rules" sheetId="9" r:id="Ra3e7aa34a66d4f6c"/>
    <x:sheet xmlns:r="http://schemas.openxmlformats.org/officeDocument/2006/relationships" name="Security" sheetId="10" r:id="R8685bb4642504a1b"/>
    <x:sheet xmlns:r="http://schemas.openxmlformats.org/officeDocument/2006/relationships" name="Quality Gates" sheetId="11" r:id="R658b3cf063ce4f24"/>
    <x:sheet xmlns:r="http://schemas.openxmlformats.org/officeDocument/2006/relationships" name="Formula Examples" sheetId="12" r:id="R43e86d73db22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1a369f7f44edc" /><Relationship Type="http://schemas.openxmlformats.org/officeDocument/2006/relationships/theme" Target="/xl/theme/theme1.xml" Id="R740839c57abc4415" /><Relationship Type="http://schemas.openxmlformats.org/officeDocument/2006/relationships/sharedStrings" Target="/xl/sharedStrings.xml" Id="Rebffa3b315564ff7" /><Relationship Type="http://schemas.openxmlformats.org/officeDocument/2006/relationships/worksheet" Target="/xl/worksheets/sheet1.xml" Id="R6c3c7ac37ac348a9" /><Relationship Type="http://schemas.openxmlformats.org/officeDocument/2006/relationships/worksheet" Target="/xl/worksheets/sheet2.xml" Id="Rdb15480b50f04b45" /><Relationship Type="http://schemas.openxmlformats.org/officeDocument/2006/relationships/worksheet" Target="/xl/worksheets/sheet3.xml" Id="R4f593961f33249e6" /><Relationship Type="http://schemas.openxmlformats.org/officeDocument/2006/relationships/worksheet" Target="/xl/worksheets/sheet4.xml" Id="R45b548f0cc6e47d6" /><Relationship Type="http://schemas.openxmlformats.org/officeDocument/2006/relationships/worksheet" Target="/xl/worksheets/sheet5.xml" Id="R23fe1f42d2ae4f38" /><Relationship Type="http://schemas.openxmlformats.org/officeDocument/2006/relationships/worksheet" Target="/xl/worksheets/sheet6.xml" Id="Rbbfe30e4b2a34215" /><Relationship Type="http://schemas.openxmlformats.org/officeDocument/2006/relationships/worksheet" Target="/xl/worksheets/sheet7.xml" Id="R055ac7fa05b14e4c" /><Relationship Type="http://schemas.openxmlformats.org/officeDocument/2006/relationships/worksheet" Target="/xl/worksheets/sheet8.xml" Id="Re0314c91ce584342" /><Relationship Type="http://schemas.openxmlformats.org/officeDocument/2006/relationships/worksheet" Target="/xl/worksheets/sheet9.xml" Id="Ra3e7aa34a66d4f6c" /><Relationship Type="http://schemas.openxmlformats.org/officeDocument/2006/relationships/worksheet" Target="/xl/worksheets/sheet10.xml" Id="R8685bb4642504a1b" /><Relationship Type="http://schemas.openxmlformats.org/officeDocument/2006/relationships/worksheet" Target="/xl/worksheets/sheet11.xml" Id="R658b3cf063ce4f24" /><Relationship Type="http://schemas.openxmlformats.org/officeDocument/2006/relationships/worksheet" Target="/xl/worksheets/sheet12.xml" Id="R43e86d73db22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26 - Estimating Execution Engine</x:v>
      </x:c>
    </x:row>
    <x:row r="4">
      <x:c r="A4" s="6" t="str">
        <x:v>Artifact</x:v>
      </x:c>
      <x:c r="B4" s="6" t="str">
        <x:v>Count</x:v>
      </x:c>
      <x:c r="D4" s="6" t="str">
        <x:v>Execution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450</x:v>
      </x:c>
      <x:c r="D5" t="str">
        <x:v>Library Snapshot</x:v>
      </x:c>
      <x:c r="E5" t="str">
        <x:v>Ready</x:v>
      </x:c>
      <x:c r="F5" t="str">
        <x:v>Estimating/Data</x:v>
      </x:c>
      <x:c r="G5" t="str">
        <x:v>Snapshot reproducibility</x:v>
      </x:c>
      <x:c r="H5" t="str">
        <x:v>Required</x:v>
      </x:c>
    </x:row>
    <x:row r="6">
      <x:c r="A6" t="str">
        <x:v>Tests</x:v>
      </x:c>
      <x:c r="B6" t="n">
        <x:v>450</x:v>
      </x:c>
      <x:c r="D6" t="str">
        <x:v>Production/Crew</x:v>
      </x:c>
      <x:c r="E6" t="str">
        <x:v>Ready</x:v>
      </x:c>
      <x:c r="F6" t="str">
        <x:v>Estimating/Ops</x:v>
      </x:c>
      <x:c r="G6" t="str">
        <x:v>Golden production tests</x:v>
      </x:c>
      <x:c r="H6" t="str">
        <x:v>Required</x:v>
      </x:c>
    </x:row>
    <x:row r="7">
      <x:c r="A7" t="str">
        <x:v>Modules</x:v>
      </x:c>
      <x:c r="B7" t="n">
        <x:v>30</x:v>
      </x:c>
      <x:c r="D7" t="str">
        <x:v>Equipment/Fuel</x:v>
      </x:c>
      <x:c r="E7" t="str">
        <x:v>Ready</x:v>
      </x:c>
      <x:c r="F7" t="str">
        <x:v>Estimating/Fleet</x:v>
      </x:c>
      <x:c r="G7" t="str">
        <x:v>Rate/fuel tests</x:v>
      </x:c>
      <x:c r="H7" t="str">
        <x:v>Required</x:v>
      </x:c>
    </x:row>
    <x:row r="8">
      <x:c r="A8" t="str">
        <x:v>Entities</x:v>
      </x:c>
      <x:c r="B8" t="n">
        <x:v>40</x:v>
      </x:c>
      <x:c r="D8" t="str">
        <x:v>Truck/Haul/Disposal</x:v>
      </x:c>
      <x:c r="E8" t="str">
        <x:v>Ready</x:v>
      </x:c>
      <x:c r="F8" t="str">
        <x:v>Estimating/Ops</x:v>
      </x:c>
      <x:c r="G8" t="str">
        <x:v>Cycle/trip tests</x:v>
      </x:c>
      <x:c r="H8" t="str">
        <x:v>Required</x:v>
      </x:c>
    </x:row>
    <x:row r="9">
      <x:c r="A9" t="str">
        <x:v>Apis</x:v>
      </x:c>
      <x:c r="B9" t="n">
        <x:v>30</x:v>
      </x:c>
      <x:c r="D9" t="str">
        <x:v>Cost Rollup</x:v>
      </x:c>
      <x:c r="E9" t="str">
        <x:v>Ready</x:v>
      </x:c>
      <x:c r="F9" t="str">
        <x:v>Estimating/Finance</x:v>
      </x:c>
      <x:c r="G9" t="str">
        <x:v>Golden cost tests</x:v>
      </x:c>
      <x:c r="H9" t="str">
        <x:v>Required</x:v>
      </x:c>
    </x:row>
    <x:row r="10">
      <x:c r="A10" t="str">
        <x:v>Events</x:v>
      </x:c>
      <x:c r="B10" t="n">
        <x:v>19</x:v>
      </x:c>
      <x:c r="D10" t="str">
        <x:v>Markup/Sell Price</x:v>
      </x:c>
      <x:c r="E10" t="str">
        <x:v>Ready</x:v>
      </x:c>
      <x:c r="F10" t="str">
        <x:v>Estimating/Finance</x:v>
      </x:c>
      <x:c r="G10" t="str">
        <x:v>Markup basis/order tests</x:v>
      </x:c>
      <x:c r="H10" t="str">
        <x:v>Required</x:v>
      </x:c>
    </x:row>
    <x:row r="11">
      <x:c r="A11" t="str">
        <x:v>Business Rules</x:v>
      </x:c>
      <x:c r="B11" t="n">
        <x:v>25</x:v>
      </x:c>
      <x:c r="D11" t="str">
        <x:v>AI Estimate Assist</x:v>
      </x:c>
      <x:c r="E11" t="str">
        <x:v>Ready boundary</x:v>
      </x:c>
      <x:c r="F11" t="str">
        <x:v>AI Governance</x:v>
      </x:c>
      <x:c r="G11" t="str">
        <x:v>No-mutation tests</x:v>
      </x:c>
      <x:c r="H11" t="str">
        <x:v>Required</x:v>
      </x:c>
    </x:row>
    <x:row r="12">
      <x:c r="A12" t="str">
        <x:v>Formulas</x:v>
      </x:c>
      <x:c r="B12" t="n">
        <x:v>20</x:v>
      </x:c>
      <x:c r="D12" t="str">
        <x:v>Estimate Handoff</x:v>
      </x:c>
      <x:c r="E12" t="str">
        <x:v>Ready</x:v>
      </x:c>
      <x:c r="F12" t="str">
        <x:v>Estimating/Project</x:v>
      </x:c>
      <x:c r="G12" t="str">
        <x:v>Exact version/snapshot export</x:v>
      </x:c>
      <x:c r="H12" t="str">
        <x:v>Required</x:v>
      </x:c>
    </x:row>
    <x:row r="13">
      <x:c r="A13" t="str">
        <x:v>Security Controls</x:v>
      </x:c>
      <x:c r="B13" t="n">
        <x:v>12</x:v>
      </x:c>
    </x:row>
    <x:row r="14">
      <x:c r="A14" t="str">
        <x:v>Quality Gates</x:v>
      </x:c>
      <x:c r="B14" t="n">
        <x:v>14</x:v>
      </x:c>
    </x:row>
    <x:row r="18">
      <x:c r="A18" s="23" t="str">
        <x:v>Phase 26 turns Phase 25 governed library data into reproducible estimates. Production drives duration; duration drives crews/equipment; truck cycle drives trips/count/haul; costs roll to sell price through explicit markup bases and order. Every authoritative result retains a calculation trace and library snapshot.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P26-REQ-001</x:v>
      </x:c>
      <x:c r="B2" s="12" t="str">
        <x:v>Estimate Lifecycle</x:v>
      </x:c>
      <x:c r="C2" s="12" t="str">
        <x:v>Must</x:v>
      </x:c>
      <x:c r="D2" s="12" t="str">
        <x:v>GrounUp shall implement governed estimate lifecycle execution capability 1 using versioned Phase 25 library data, explicit quantity/production assumptions, deterministic calculation lineage, tenant security and mapped acceptance evidence.</x:v>
      </x:c>
      <x:c r="E2" s="12" t="str">
        <x:v>Capability 1 passes when inputs, library snapshot/version, formulas/rules, units, output values, rounding, scenario behavior, overrides, audit lineage and mapped tests are reproducible.</x:v>
      </x:c>
      <x:c r="F2" s="12" t="str">
        <x:v>v1.0.0</x:v>
      </x:c>
      <x:c r="G2" s="12" t="str">
        <x:v>Implementation-ready</x:v>
      </x:c>
    </x:row>
    <x:row r="3">
      <x:c r="A3" s="12" t="str">
        <x:v>P26-REQ-002</x:v>
      </x:c>
      <x:c r="B3" s="12" t="str">
        <x:v>Estimate Versions</x:v>
      </x:c>
      <x:c r="C3" s="12" t="str">
        <x:v>Must</x:v>
      </x:c>
      <x:c r="D3" s="12" t="str">
        <x:v>GrounUp shall implement governed estimate versions execution capability 2 using versioned Phase 25 library data, explicit quantity/production assumptions, deterministic calculation lineage, tenant security and mapped acceptance evidence.</x:v>
      </x:c>
      <x:c r="E3" s="12" t="str">
        <x:v>Capability 2 passes when inputs, library snapshot/version, formulas/rules, units, output values, rounding, scenario behavior, overrides, audit lineage and mapped tests are reproducible.</x:v>
      </x:c>
      <x:c r="F3" s="12" t="str">
        <x:v>v1.0.0</x:v>
      </x:c>
      <x:c r="G3" s="12" t="str">
        <x:v>Implementation-ready</x:v>
      </x:c>
    </x:row>
    <x:row r="4">
      <x:c r="A4" s="12" t="str">
        <x:v>P26-REQ-003</x:v>
      </x:c>
      <x:c r="B4" s="12" t="str">
        <x:v>Estimate Templates</x:v>
      </x:c>
      <x:c r="C4" s="12" t="str">
        <x:v>Must</x:v>
      </x:c>
      <x:c r="D4" s="12" t="str">
        <x:v>GrounUp shall implement governed estimate templates execution capability 3 using versioned Phase 25 library data, explicit quantity/production assumptions, deterministic calculation lineage, tenant security and mapped acceptance evidence.</x:v>
      </x:c>
      <x:c r="E4" s="12" t="str">
        <x:v>Capability 3 passes when inputs, library snapshot/version, formulas/rules, units, output values, rounding, scenario behavior, overrides, audit lineage and mapped tests are reproducible.</x:v>
      </x:c>
      <x:c r="F4" s="12" t="str">
        <x:v>v1.0.0</x:v>
      </x:c>
      <x:c r="G4" s="12" t="str">
        <x:v>Implementation-ready</x:v>
      </x:c>
    </x:row>
    <x:row r="5">
      <x:c r="A5" s="12" t="str">
        <x:v>P26-REQ-004</x:v>
      </x:c>
      <x:c r="B5" s="12" t="str">
        <x:v>Service Selection</x:v>
      </x:c>
      <x:c r="C5" s="12" t="str">
        <x:v>Must</x:v>
      </x:c>
      <x:c r="D5" s="12" t="str">
        <x:v>GrounUp shall implement governed service selection execution capability 4 using versioned Phase 25 library data, explicit quantity/production assumptions, deterministic calculation lineage, tenant security and mapped acceptance evidence.</x:v>
      </x:c>
      <x:c r="E5" s="12" t="str">
        <x:v>Capability 4 passes when inputs, library snapshot/version, formulas/rules, units, output values, rounding, scenario behavior, overrides, audit lineage and mapped tests are reproducible.</x:v>
      </x:c>
      <x:c r="F5" s="12" t="str">
        <x:v>v1.0.0</x:v>
      </x:c>
      <x:c r="G5" s="12" t="str">
        <x:v>Implementation-ready</x:v>
      </x:c>
    </x:row>
    <x:row r="6">
      <x:c r="A6" s="12" t="str">
        <x:v>P26-REQ-005</x:v>
      </x:c>
      <x:c r="B6" s="12" t="str">
        <x:v>Assembly Expansion</x:v>
      </x:c>
      <x:c r="C6" s="12" t="str">
        <x:v>Must</x:v>
      </x:c>
      <x:c r="D6" s="12" t="str">
        <x:v>GrounUp shall implement governed assembly expansion execution capability 5 using versioned Phase 25 library data, explicit quantity/production assumptions, deterministic calculation lineage, tenant security and mapped acceptance evidence.</x:v>
      </x:c>
      <x:c r="E6" s="12" t="str">
        <x:v>Capability 5 passes when inputs, library snapshot/version, formulas/rules, units, output values, rounding, scenario behavior, overrides, audit lineage and mapped tests are reproducible.</x:v>
      </x:c>
      <x:c r="F6" s="12" t="str">
        <x:v>v1.0.0</x:v>
      </x:c>
      <x:c r="G6" s="12" t="str">
        <x:v>Implementation-ready</x:v>
      </x:c>
    </x:row>
    <x:row r="7">
      <x:c r="A7" s="12" t="str">
        <x:v>P26-REQ-006</x:v>
      </x:c>
      <x:c r="B7" s="12" t="str">
        <x:v>Quantity Input</x:v>
      </x:c>
      <x:c r="C7" s="12" t="str">
        <x:v>Must</x:v>
      </x:c>
      <x:c r="D7" s="12" t="str">
        <x:v>GrounUp shall implement governed quantity input execution capability 6 using versioned Phase 25 library data, explicit quantity/production assumptions, deterministic calculation lineage, tenant security and mapped acceptance evidence.</x:v>
      </x:c>
      <x:c r="E7" s="12" t="str">
        <x:v>Capability 6 passes when inputs, library snapshot/version, formulas/rules, units, output values, rounding, scenario behavior, overrides, audit lineage and mapped tests are reproducible.</x:v>
      </x:c>
      <x:c r="F7" s="12" t="str">
        <x:v>v1.0.0</x:v>
      </x:c>
      <x:c r="G7" s="12" t="str">
        <x:v>Implementation-ready</x:v>
      </x:c>
    </x:row>
    <x:row r="8">
      <x:c r="A8" s="12" t="str">
        <x:v>P26-REQ-007</x:v>
      </x:c>
      <x:c r="B8" s="12" t="str">
        <x:v>Quantity Takeoff Intake</x:v>
      </x:c>
      <x:c r="C8" s="12" t="str">
        <x:v>Must</x:v>
      </x:c>
      <x:c r="D8" s="12" t="str">
        <x:v>GrounUp shall implement governed quantity takeoff intake execution capability 7 using versioned Phase 25 library data, explicit quantity/production assumptions, deterministic calculation lineage, tenant security and mapped acceptance evidence.</x:v>
      </x:c>
      <x:c r="E8" s="12" t="str">
        <x:v>Capability 7 passes when inputs, library snapshot/version, formulas/rules, units, output values, rounding, scenario behavior, overrides, audit lineage and mapped tests are reproducible.</x:v>
      </x:c>
      <x:c r="F8" s="12" t="str">
        <x:v>v1.0.0</x:v>
      </x:c>
      <x:c r="G8" s="12" t="str">
        <x:v>Implementation-ready</x:v>
      </x:c>
    </x:row>
    <x:row r="9">
      <x:c r="A9" s="12" t="str">
        <x:v>P26-REQ-008</x:v>
      </x:c>
      <x:c r="B9" s="12" t="str">
        <x:v>Labor Cost</x:v>
      </x:c>
      <x:c r="C9" s="12" t="str">
        <x:v>Must</x:v>
      </x:c>
      <x:c r="D9" s="12" t="str">
        <x:v>GrounUp shall implement governed labor cost execution capability 8 using versioned Phase 25 library data, explicit quantity/production assumptions, deterministic calculation lineage, tenant security and mapped acceptance evidence.</x:v>
      </x:c>
      <x:c r="E9" s="12" t="str">
        <x:v>Capability 8 passes when inputs, library snapshot/version, formulas/rules, units, output values, rounding, scenario behavior, overrides, audit lineage and mapped tests are reproducible.</x:v>
      </x:c>
      <x:c r="F9" s="12" t="str">
        <x:v>v1.0.0</x:v>
      </x:c>
      <x:c r="G9" s="12" t="str">
        <x:v>Implementation-ready</x:v>
      </x:c>
    </x:row>
    <x:row r="10">
      <x:c r="A10" s="12" t="str">
        <x:v>P26-REQ-009</x:v>
      </x:c>
      <x:c r="B10" s="12" t="str">
        <x:v>Labor Burden</x:v>
      </x:c>
      <x:c r="C10" s="12" t="str">
        <x:v>Must</x:v>
      </x:c>
      <x:c r="D10" s="12" t="str">
        <x:v>GrounUp shall implement governed labor burden execution capability 9 using versioned Phase 25 library data, explicit quantity/production assumptions, deterministic calculation lineage, tenant security and mapped acceptance evidence.</x:v>
      </x:c>
      <x:c r="E10" s="12" t="str">
        <x:v>Capability 9 passes when inputs, library snapshot/version, formulas/rules, units, output values, rounding, scenario behavior, overrides, audit lineage and mapped tests are reproducible.</x:v>
      </x:c>
      <x:c r="F10" s="12" t="str">
        <x:v>v1.0.0</x:v>
      </x:c>
      <x:c r="G10" s="12" t="str">
        <x:v>Implementation-ready</x:v>
      </x:c>
    </x:row>
    <x:row r="11">
      <x:c r="A11" s="12" t="str">
        <x:v>P26-REQ-010</x:v>
      </x:c>
      <x:c r="B11" s="12" t="str">
        <x:v>Crew Composition</x:v>
      </x:c>
      <x:c r="C11" s="12" t="str">
        <x:v>Must</x:v>
      </x:c>
      <x:c r="D11" s="12" t="str">
        <x:v>GrounUp shall implement governed crew composition execution capability 10 using versioned Phase 25 library data, explicit quantity/production assumptions, deterministic calculation lineage, tenant security and mapped acceptance evidence.</x:v>
      </x:c>
      <x:c r="E11" s="12" t="str">
        <x:v>Capability 10 passes when inputs, library snapshot/version, formulas/rules, units, output values, rounding, scenario behavior, overrides, audit lineage and mapped tests are reproducible.</x:v>
      </x:c>
      <x:c r="F11" s="12" t="str">
        <x:v>v1.0.0</x:v>
      </x:c>
      <x:c r="G11" s="12" t="str">
        <x:v>Implementation-ready</x:v>
      </x:c>
    </x:row>
    <x:row r="12">
      <x:c r="A12" s="12" t="str">
        <x:v>P26-REQ-011</x:v>
      </x:c>
      <x:c r="B12" s="12" t="str">
        <x:v>Crew Size Recommendation</x:v>
      </x:c>
      <x:c r="C12" s="12" t="str">
        <x:v>Must</x:v>
      </x:c>
      <x:c r="D12" s="12" t="str">
        <x:v>GrounUp shall implement governed crew size recommendation execution capability 11 using versioned Phase 25 library data, explicit quantity/production assumptions, deterministic calculation lineage, tenant security and mapped acceptance evidence.</x:v>
      </x:c>
      <x:c r="E12" s="12" t="str">
        <x:v>Capability 11 passes when inputs, library snapshot/version, formulas/rules, units, output values, rounding, scenario behavior, overrides, audit lineage and mapped tests are reproducible.</x:v>
      </x:c>
      <x:c r="F12" s="12" t="str">
        <x:v>v1.0.0</x:v>
      </x:c>
      <x:c r="G12" s="12" t="str">
        <x:v>Implementation-ready</x:v>
      </x:c>
    </x:row>
    <x:row r="13">
      <x:c r="A13" s="12" t="str">
        <x:v>P26-REQ-012</x:v>
      </x:c>
      <x:c r="B13" s="12" t="str">
        <x:v>Equipment Selection</x:v>
      </x:c>
      <x:c r="C13" s="12" t="str">
        <x:v>Must</x:v>
      </x:c>
      <x:c r="D13" s="12" t="str">
        <x:v>GrounUp shall implement governed equipment selection execution capability 12 using versioned Phase 25 library data, explicit quantity/production assumptions, deterministic calculation lineage, tenant security and mapped acceptance evidence.</x:v>
      </x:c>
      <x:c r="E13" s="12" t="str">
        <x:v>Capability 12 passes when inputs, library snapshot/version, formulas/rules, units, output values, rounding, scenario behavior, overrides, audit lineage and mapped tests are reproducible.</x:v>
      </x:c>
      <x:c r="F13" s="12" t="str">
        <x:v>v1.0.0</x:v>
      </x:c>
      <x:c r="G13" s="12" t="str">
        <x:v>Implementation-ready</x:v>
      </x:c>
    </x:row>
    <x:row r="14">
      <x:c r="A14" s="12" t="str">
        <x:v>P26-REQ-013</x:v>
      </x:c>
      <x:c r="B14" s="12" t="str">
        <x:v>Equipment Cost</x:v>
      </x:c>
      <x:c r="C14" s="12" t="str">
        <x:v>Must</x:v>
      </x:c>
      <x:c r="D14" s="12" t="str">
        <x:v>GrounUp shall implement governed equipment cost execution capability 13 using versioned Phase 25 library data, explicit quantity/production assumptions, deterministic calculation lineage, tenant security and mapped acceptance evidence.</x:v>
      </x:c>
      <x:c r="E14" s="12" t="str">
        <x:v>Capability 13 passes when inputs, library snapshot/version, formulas/rules, units, output values, rounding, scenario behavior, overrides, audit lineage and mapped tests are reproducible.</x:v>
      </x:c>
      <x:c r="F14" s="12" t="str">
        <x:v>v1.0.0</x:v>
      </x:c>
      <x:c r="G14" s="12" t="str">
        <x:v>Implementation-ready</x:v>
      </x:c>
    </x:row>
    <x:row r="15">
      <x:c r="A15" s="12" t="str">
        <x:v>P26-REQ-014</x:v>
      </x:c>
      <x:c r="B15" s="12" t="str">
        <x:v>Equipment Rate Selection</x:v>
      </x:c>
      <x:c r="C15" s="12" t="str">
        <x:v>Must</x:v>
      </x:c>
      <x:c r="D15" s="12" t="str">
        <x:v>GrounUp shall implement governed equipment rate selection execution capability 14 using versioned Phase 25 library data, explicit quantity/production assumptions, deterministic calculation lineage, tenant security and mapped acceptance evidence.</x:v>
      </x:c>
      <x:c r="E15" s="12" t="str">
        <x:v>Capability 14 passes when inputs, library snapshot/version, formulas/rules, units, output values, rounding, scenario behavior, overrides, audit lineage and mapped tests are reproducible.</x:v>
      </x:c>
      <x:c r="F15" s="12" t="str">
        <x:v>v1.0.0</x:v>
      </x:c>
      <x:c r="G15" s="12" t="str">
        <x:v>Implementation-ready</x:v>
      </x:c>
    </x:row>
    <x:row r="16">
      <x:c r="A16" s="12" t="str">
        <x:v>P26-REQ-015</x:v>
      </x:c>
      <x:c r="B16" s="12" t="str">
        <x:v>Fuel Consumption</x:v>
      </x:c>
      <x:c r="C16" s="12" t="str">
        <x:v>Must</x:v>
      </x:c>
      <x:c r="D16" s="12" t="str">
        <x:v>GrounUp shall implement governed fuel consumption execution capability 15 using versioned Phase 25 library data, explicit quantity/production assumptions, deterministic calculation lineage, tenant security and mapped acceptance evidence.</x:v>
      </x:c>
      <x:c r="E16" s="12" t="str">
        <x:v>Capability 15 passes when inputs, library snapshot/version, formulas/rules, units, output values, rounding, scenario behavior, overrides, audit lineage and mapped tests are reproducible.</x:v>
      </x:c>
      <x:c r="F16" s="12" t="str">
        <x:v>v1.0.0</x:v>
      </x:c>
      <x:c r="G16" s="12" t="str">
        <x:v>Implementation-ready</x:v>
      </x:c>
    </x:row>
    <x:row r="17">
      <x:c r="A17" s="12" t="str">
        <x:v>P26-REQ-016</x:v>
      </x:c>
      <x:c r="B17" s="12" t="str">
        <x:v>Truck Selection</x:v>
      </x:c>
      <x:c r="C17" s="12" t="str">
        <x:v>Must</x:v>
      </x:c>
      <x:c r="D17" s="12" t="str">
        <x:v>GrounUp shall implement governed truck selection execution capability 16 using versioned Phase 25 library data, explicit quantity/production assumptions, deterministic calculation lineage, tenant security and mapped acceptance evidence.</x:v>
      </x:c>
      <x:c r="E17" s="12" t="str">
        <x:v>Capability 16 passes when inputs, library snapshot/version, formulas/rules, units, output values, rounding, scenario behavior, overrides, audit lineage and mapped tests are reproducible.</x:v>
      </x:c>
      <x:c r="F17" s="12" t="str">
        <x:v>v1.0.0</x:v>
      </x:c>
      <x:c r="G17" s="12" t="str">
        <x:v>Implementation-ready</x:v>
      </x:c>
    </x:row>
    <x:row r="18">
      <x:c r="A18" s="12" t="str">
        <x:v>P26-REQ-017</x:v>
      </x:c>
      <x:c r="B18" s="12" t="str">
        <x:v>Truck Cycle Calculation</x:v>
      </x:c>
      <x:c r="C18" s="12" t="str">
        <x:v>Must</x:v>
      </x:c>
      <x:c r="D18" s="12" t="str">
        <x:v>GrounUp shall implement governed truck cycle calculation execution capability 17 using versioned Phase 25 library data, explicit quantity/production assumptions, deterministic calculation lineage, tenant security and mapped acceptance evidence.</x:v>
      </x:c>
      <x:c r="E18" s="12" t="str">
        <x:v>Capability 17 passes when inputs, library snapshot/version, formulas/rules, units, output values, rounding, scenario behavior, overrides, audit lineage and mapped tests are reproducible.</x:v>
      </x:c>
      <x:c r="F18" s="12" t="str">
        <x:v>v1.0.0</x:v>
      </x:c>
      <x:c r="G18" s="12" t="str">
        <x:v>Implementation-ready</x:v>
      </x:c>
    </x:row>
    <x:row r="19">
      <x:c r="A19" s="12" t="str">
        <x:v>P26-REQ-018</x:v>
      </x:c>
      <x:c r="B19" s="12" t="str">
        <x:v>Truck Count</x:v>
      </x:c>
      <x:c r="C19" s="12" t="str">
        <x:v>Must</x:v>
      </x:c>
      <x:c r="D19" s="12" t="str">
        <x:v>GrounUp shall implement governed truck count execution capability 18 using versioned Phase 25 library data, explicit quantity/production assumptions, deterministic calculation lineage, tenant security and mapped acceptance evidence.</x:v>
      </x:c>
      <x:c r="E19" s="12" t="str">
        <x:v>Capability 18 passes when inputs, library snapshot/version, formulas/rules, units, output values, rounding, scenario behavior, overrides, audit lineage and mapped tests are reproducible.</x:v>
      </x:c>
      <x:c r="F19" s="12" t="str">
        <x:v>v1.0.0</x:v>
      </x:c>
      <x:c r="G19" s="12" t="str">
        <x:v>Implementation-ready</x:v>
      </x:c>
    </x:row>
    <x:row r="20">
      <x:c r="A20" s="12" t="str">
        <x:v>P26-REQ-019</x:v>
      </x:c>
      <x:c r="B20" s="12" t="str">
        <x:v>Haul Distance</x:v>
      </x:c>
      <x:c r="C20" s="12" t="str">
        <x:v>Must</x:v>
      </x:c>
      <x:c r="D20" s="12" t="str">
        <x:v>GrounUp shall implement governed haul distance execution capability 19 using versioned Phase 25 library data, explicit quantity/production assumptions, deterministic calculation lineage, tenant security and mapped acceptance evidence.</x:v>
      </x:c>
      <x:c r="E20" s="12" t="str">
        <x:v>Capability 19 passes when inputs, library snapshot/version, formulas/rules, units, output values, rounding, scenario behavior, overrides, audit lineage and mapped tests are reproducible.</x:v>
      </x:c>
      <x:c r="F20" s="12" t="str">
        <x:v>v1.0.0</x:v>
      </x:c>
      <x:c r="G20" s="12" t="str">
        <x:v>Implementation-ready</x:v>
      </x:c>
    </x:row>
    <x:row r="21">
      <x:c r="A21" s="12" t="str">
        <x:v>P26-REQ-020</x:v>
      </x:c>
      <x:c r="B21" s="12" t="str">
        <x:v>Disposal Cost</x:v>
      </x:c>
      <x:c r="C21" s="12" t="str">
        <x:v>Must</x:v>
      </x:c>
      <x:c r="D21" s="12" t="str">
        <x:v>GrounUp shall implement governed disposal cost execution capability 20 using versioned Phase 25 library data, explicit quantity/production assumptions, deterministic calculation lineage, tenant security and mapped acceptance evidence.</x:v>
      </x:c>
      <x:c r="E21" s="12" t="str">
        <x:v>Capability 20 passes when inputs, library snapshot/version, formulas/rules, units, output values, rounding, scenario behavior, overrides, audit lineage and mapped tests are reproducible.</x:v>
      </x:c>
      <x:c r="F21" s="12" t="str">
        <x:v>v1.0.0</x:v>
      </x:c>
      <x:c r="G21" s="12" t="str">
        <x:v>Implementation-ready</x:v>
      </x:c>
    </x:row>
    <x:row r="22">
      <x:c r="A22" s="12" t="str">
        <x:v>P26-REQ-021</x:v>
      </x:c>
      <x:c r="B22" s="12" t="str">
        <x:v>Material Cost</x:v>
      </x:c>
      <x:c r="C22" s="12" t="str">
        <x:v>Must</x:v>
      </x:c>
      <x:c r="D22" s="12" t="str">
        <x:v>GrounUp shall implement governed material cost execution capability 21 using versioned Phase 25 library data, explicit quantity/production assumptions, deterministic calculation lineage, tenant security and mapped acceptance evidence.</x:v>
      </x:c>
      <x:c r="E22" s="12" t="str">
        <x:v>Capability 21 passes when inputs, library snapshot/version, formulas/rules, units, output values, rounding, scenario behavior, overrides, audit lineage and mapped tests are reproducible.</x:v>
      </x:c>
      <x:c r="F22" s="12" t="str">
        <x:v>v1.0.0</x:v>
      </x:c>
      <x:c r="G22" s="12" t="str">
        <x:v>Implementation-ready</x:v>
      </x:c>
    </x:row>
    <x:row r="23">
      <x:c r="A23" s="12" t="str">
        <x:v>P26-REQ-022</x:v>
      </x:c>
      <x:c r="B23" s="12" t="str">
        <x:v>Material Waste</x:v>
      </x:c>
      <x:c r="C23" s="12" t="str">
        <x:v>Must</x:v>
      </x:c>
      <x:c r="D23" s="12" t="str">
        <x:v>GrounUp shall implement governed material waste execution capability 22 using versioned Phase 25 library data, explicit quantity/production assumptions, deterministic calculation lineage, tenant security and mapped acceptance evidence.</x:v>
      </x:c>
      <x:c r="E23" s="12" t="str">
        <x:v>Capability 22 passes when inputs, library snapshot/version, formulas/rules, units, output values, rounding, scenario behavior, overrides, audit lineage and mapped tests are reproducible.</x:v>
      </x:c>
      <x:c r="F23" s="12" t="str">
        <x:v>v1.0.0</x:v>
      </x:c>
      <x:c r="G23" s="12" t="str">
        <x:v>Implementation-ready</x:v>
      </x:c>
    </x:row>
    <x:row r="24">
      <x:c r="A24" s="12" t="str">
        <x:v>P26-REQ-023</x:v>
      </x:c>
      <x:c r="B24" s="12" t="str">
        <x:v>Subcontract Cost</x:v>
      </x:c>
      <x:c r="C24" s="12" t="str">
        <x:v>Must</x:v>
      </x:c>
      <x:c r="D24" s="12" t="str">
        <x:v>GrounUp shall implement governed subcontract cost execution capability 23 using versioned Phase 25 library data, explicit quantity/production assumptions, deterministic calculation lineage, tenant security and mapped acceptance evidence.</x:v>
      </x:c>
      <x:c r="E24" s="12" t="str">
        <x:v>Capability 23 passes when inputs, library snapshot/version, formulas/rules, units, output values, rounding, scenario behavior, overrides, audit lineage and mapped tests are reproducible.</x:v>
      </x:c>
      <x:c r="F24" s="12" t="str">
        <x:v>v1.0.0</x:v>
      </x:c>
      <x:c r="G24" s="12" t="str">
        <x:v>Implementation-ready</x:v>
      </x:c>
    </x:row>
    <x:row r="25">
      <x:c r="A25" s="12" t="str">
        <x:v>P26-REQ-024</x:v>
      </x:c>
      <x:c r="B25" s="12" t="str">
        <x:v>Production Rate</x:v>
      </x:c>
      <x:c r="C25" s="12" t="str">
        <x:v>Must</x:v>
      </x:c>
      <x:c r="D25" s="12" t="str">
        <x:v>GrounUp shall implement governed production rate execution capability 24 using versioned Phase 25 library data, explicit quantity/production assumptions, deterministic calculation lineage, tenant security and mapped acceptance evidence.</x:v>
      </x:c>
      <x:c r="E25" s="12" t="str">
        <x:v>Capability 24 passes when inputs, library snapshot/version, formulas/rules, units, output values, rounding, scenario behavior, overrides, audit lineage and mapped tests are reproducible.</x:v>
      </x:c>
      <x:c r="F25" s="12" t="str">
        <x:v>v1.0.0</x:v>
      </x:c>
      <x:c r="G25" s="12" t="str">
        <x:v>Implementation-ready</x:v>
      </x:c>
    </x:row>
    <x:row r="26">
      <x:c r="A26" s="12" t="str">
        <x:v>P26-REQ-025</x:v>
      </x:c>
      <x:c r="B26" s="12" t="str">
        <x:v>Production Modifiers</x:v>
      </x:c>
      <x:c r="C26" s="12" t="str">
        <x:v>Must</x:v>
      </x:c>
      <x:c r="D26" s="12" t="str">
        <x:v>GrounUp shall implement governed production modifiers execution capability 25 using versioned Phase 25 library data, explicit quantity/production assumptions, deterministic calculation lineage, tenant security and mapped acceptance evidence.</x:v>
      </x:c>
      <x:c r="E26" s="12" t="str">
        <x:v>Capability 25 passes when inputs, library snapshot/version, formulas/rules, units, output values, rounding, scenario behavior, overrides, audit lineage and mapped tests are reproducible.</x:v>
      </x:c>
      <x:c r="F26" s="12" t="str">
        <x:v>v1.0.0</x:v>
      </x:c>
      <x:c r="G26" s="12" t="str">
        <x:v>Implementation-ready</x:v>
      </x:c>
    </x:row>
    <x:row r="27">
      <x:c r="A27" s="12" t="str">
        <x:v>P26-REQ-026</x:v>
      </x:c>
      <x:c r="B27" s="12" t="str">
        <x:v>Duration Calculation</x:v>
      </x:c>
      <x:c r="C27" s="12" t="str">
        <x:v>Must</x:v>
      </x:c>
      <x:c r="D27" s="12" t="str">
        <x:v>GrounUp shall implement governed duration calculation execution capability 26 using versioned Phase 25 library data, explicit quantity/production assumptions, deterministic calculation lineage, tenant security and mapped acceptance evidence.</x:v>
      </x:c>
      <x:c r="E27" s="12" t="str">
        <x:v>Capability 26 passes when inputs, library snapshot/version, formulas/rules, units, output values, rounding, scenario behavior, overrides, audit lineage and mapped tests are reproducible.</x:v>
      </x:c>
      <x:c r="F27" s="12" t="str">
        <x:v>v1.0.0</x:v>
      </x:c>
      <x:c r="G27" s="12" t="str">
        <x:v>Implementation-ready</x:v>
      </x:c>
    </x:row>
    <x:row r="28">
      <x:c r="A28" s="12" t="str">
        <x:v>P26-REQ-027</x:v>
      </x:c>
      <x:c r="B28" s="12" t="str">
        <x:v>Work Hours &amp; Shifts</x:v>
      </x:c>
      <x:c r="C28" s="12" t="str">
        <x:v>Must</x:v>
      </x:c>
      <x:c r="D28" s="12" t="str">
        <x:v>GrounUp shall implement governed work hours &amp; shifts execution capability 27 using versioned Phase 25 library data, explicit quantity/production assumptions, deterministic calculation lineage, tenant security and mapped acceptance evidence.</x:v>
      </x:c>
      <x:c r="E28" s="12" t="str">
        <x:v>Capability 27 passes when inputs, library snapshot/version, formulas/rules, units, output values, rounding, scenario behavior, overrides, audit lineage and mapped tests are reproducible.</x:v>
      </x:c>
      <x:c r="F28" s="12" t="str">
        <x:v>v1.0.0</x:v>
      </x:c>
      <x:c r="G28" s="12" t="str">
        <x:v>Implementation-ready</x:v>
      </x:c>
    </x:row>
    <x:row r="29">
      <x:c r="A29" s="12" t="str">
        <x:v>P26-REQ-028</x:v>
      </x:c>
      <x:c r="B29" s="12" t="str">
        <x:v>Mobilization</x:v>
      </x:c>
      <x:c r="C29" s="12" t="str">
        <x:v>Must</x:v>
      </x:c>
      <x:c r="D29" s="12" t="str">
        <x:v>GrounUp shall implement governed mobilization execution capability 28 using versioned Phase 25 library data, explicit quantity/production assumptions, deterministic calculation lineage, tenant security and mapped acceptance evidence.</x:v>
      </x:c>
      <x:c r="E29" s="12" t="str">
        <x:v>Capability 28 passes when inputs, library snapshot/version, formulas/rules, units, output values, rounding, scenario behavior, overrides, audit lineage and mapped tests are reproducible.</x:v>
      </x:c>
      <x:c r="F29" s="12" t="str">
        <x:v>v1.0.0</x:v>
      </x:c>
      <x:c r="G29" s="12" t="str">
        <x:v>Implementation-ready</x:v>
      </x:c>
    </x:row>
    <x:row r="30">
      <x:c r="A30" s="12" t="str">
        <x:v>P26-REQ-029</x:v>
      </x:c>
      <x:c r="B30" s="12" t="str">
        <x:v>Demobilization</x:v>
      </x:c>
      <x:c r="C30" s="12" t="str">
        <x:v>Must</x:v>
      </x:c>
      <x:c r="D30" s="12" t="str">
        <x:v>GrounUp shall implement governed demobilization execution capability 29 using versioned Phase 25 library data, explicit quantity/production assumptions, deterministic calculation lineage, tenant security and mapped acceptance evidence.</x:v>
      </x:c>
      <x:c r="E30" s="12" t="str">
        <x:v>Capability 29 passes when inputs, library snapshot/version, formulas/rules, units, output values, rounding, scenario behavior, overrides, audit lineage and mapped tests are reproducible.</x:v>
      </x:c>
      <x:c r="F30" s="12" t="str">
        <x:v>v1.0.0</x:v>
      </x:c>
      <x:c r="G30" s="12" t="str">
        <x:v>Implementation-ready</x:v>
      </x:c>
    </x:row>
    <x:row r="31">
      <x:c r="A31" s="12" t="str">
        <x:v>P26-REQ-030</x:v>
      </x:c>
      <x:c r="B31" s="12" t="str">
        <x:v>Indirect Costs</x:v>
      </x:c>
      <x:c r="C31" s="12" t="str">
        <x:v>Must</x:v>
      </x:c>
      <x:c r="D31" s="12" t="str">
        <x:v>GrounUp shall implement governed indirect costs execution capability 30 using versioned Phase 25 library data, explicit quantity/production assumptions, deterministic calculation lineage, tenant security and mapped acceptance evidence.</x:v>
      </x:c>
      <x:c r="E31" s="12" t="str">
        <x:v>Capability 30 passes when inputs, library snapshot/version, formulas/rules, units, output values, rounding, scenario behavior, overrides, audit lineage and mapped tests are reproducible.</x:v>
      </x:c>
      <x:c r="F31" s="12" t="str">
        <x:v>v1.0.0</x:v>
      </x:c>
      <x:c r="G31" s="12" t="str">
        <x:v>Implementation-ready</x:v>
      </x:c>
    </x:row>
    <x:row r="32">
      <x:c r="A32" s="12" t="str">
        <x:v>P26-REQ-031</x:v>
      </x:c>
      <x:c r="B32" s="12" t="str">
        <x:v>Contingency</x:v>
      </x:c>
      <x:c r="C32" s="12" t="str">
        <x:v>Must</x:v>
      </x:c>
      <x:c r="D32" s="12" t="str">
        <x:v>GrounUp shall implement governed contingency execution capability 31 using versioned Phase 25 library data, explicit quantity/production assumptions, deterministic calculation lineage, tenant security and mapped acceptance evidence.</x:v>
      </x:c>
      <x:c r="E32" s="12" t="str">
        <x:v>Capability 31 passes when inputs, library snapshot/version, formulas/rules, units, output values, rounding, scenario behavior, overrides, audit lineage and mapped tests are reproducible.</x:v>
      </x:c>
      <x:c r="F32" s="12" t="str">
        <x:v>v1.0.0</x:v>
      </x:c>
      <x:c r="G32" s="12" t="str">
        <x:v>Implementation-ready</x:v>
      </x:c>
    </x:row>
    <x:row r="33">
      <x:c r="A33" s="12" t="str">
        <x:v>P26-REQ-032</x:v>
      </x:c>
      <x:c r="B33" s="12" t="str">
        <x:v>Markup</x:v>
      </x:c>
      <x:c r="C33" s="12" t="str">
        <x:v>Must</x:v>
      </x:c>
      <x:c r="D33" s="12" t="str">
        <x:v>GrounUp shall implement governed markup execution capability 32 using versioned Phase 25 library data, explicit quantity/production assumptions, deterministic calculation lineage, tenant security and mapped acceptance evidence.</x:v>
      </x:c>
      <x:c r="E33" s="12" t="str">
        <x:v>Capability 32 passes when inputs, library snapshot/version, formulas/rules, units, output values, rounding, scenario behavior, overrides, audit lineage and mapped tests are reproducible.</x:v>
      </x:c>
      <x:c r="F33" s="12" t="str">
        <x:v>v1.0.0</x:v>
      </x:c>
      <x:c r="G33" s="12" t="str">
        <x:v>Implementation-ready</x:v>
      </x:c>
    </x:row>
    <x:row r="34">
      <x:c r="A34" s="12" t="str">
        <x:v>P26-REQ-033</x:v>
      </x:c>
      <x:c r="B34" s="12" t="str">
        <x:v>Overhead &amp; Profit</x:v>
      </x:c>
      <x:c r="C34" s="12" t="str">
        <x:v>Must</x:v>
      </x:c>
      <x:c r="D34" s="12" t="str">
        <x:v>GrounUp shall implement governed overhead &amp; profit execution capability 33 using versioned Phase 25 library data, explicit quantity/production assumptions, deterministic calculation lineage, tenant security and mapped acceptance evidence.</x:v>
      </x:c>
      <x:c r="E34" s="12" t="str">
        <x:v>Capability 33 passes when inputs, library snapshot/version, formulas/rules, units, output values, rounding, scenario behavior, overrides, audit lineage and mapped tests are reproducible.</x:v>
      </x:c>
      <x:c r="F34" s="12" t="str">
        <x:v>v1.0.0</x:v>
      </x:c>
      <x:c r="G34" s="12" t="str">
        <x:v>Implementation-ready</x:v>
      </x:c>
    </x:row>
    <x:row r="35">
      <x:c r="A35" s="12" t="str">
        <x:v>P26-REQ-034</x:v>
      </x:c>
      <x:c r="B35" s="12" t="str">
        <x:v>Tax &amp; Bond</x:v>
      </x:c>
      <x:c r="C35" s="12" t="str">
        <x:v>Must</x:v>
      </x:c>
      <x:c r="D35" s="12" t="str">
        <x:v>GrounUp shall implement governed tax &amp; bond execution capability 34 using versioned Phase 25 library data, explicit quantity/production assumptions, deterministic calculation lineage, tenant security and mapped acceptance evidence.</x:v>
      </x:c>
      <x:c r="E35" s="12" t="str">
        <x:v>Capability 34 passes when inputs, library snapshot/version, formulas/rules, units, output values, rounding, scenario behavior, overrides, audit lineage and mapped tests are reproducible.</x:v>
      </x:c>
      <x:c r="F35" s="12" t="str">
        <x:v>v1.0.0</x:v>
      </x:c>
      <x:c r="G35" s="12" t="str">
        <x:v>Implementation-ready</x:v>
      </x:c>
    </x:row>
    <x:row r="36">
      <x:c r="A36" s="12" t="str">
        <x:v>P26-REQ-035</x:v>
      </x:c>
      <x:c r="B36" s="12" t="str">
        <x:v>Unit Price</x:v>
      </x:c>
      <x:c r="C36" s="12" t="str">
        <x:v>Must</x:v>
      </x:c>
      <x:c r="D36" s="12" t="str">
        <x:v>GrounUp shall implement governed unit price execution capability 35 using versioned Phase 25 library data, explicit quantity/production assumptions, deterministic calculation lineage, tenant security and mapped acceptance evidence.</x:v>
      </x:c>
      <x:c r="E36" s="12" t="str">
        <x:v>Capability 35 passes when inputs, library snapshot/version, formulas/rules, units, output values, rounding, scenario behavior, overrides, audit lineage and mapped tests are reproducible.</x:v>
      </x:c>
      <x:c r="F36" s="12" t="str">
        <x:v>v1.0.0</x:v>
      </x:c>
      <x:c r="G36" s="12" t="str">
        <x:v>Implementation-ready</x:v>
      </x:c>
    </x:row>
    <x:row r="37">
      <x:c r="A37" s="12" t="str">
        <x:v>P26-REQ-036</x:v>
      </x:c>
      <x:c r="B37" s="12" t="str">
        <x:v>Bid Price</x:v>
      </x:c>
      <x:c r="C37" s="12" t="str">
        <x:v>Must</x:v>
      </x:c>
      <x:c r="D37" s="12" t="str">
        <x:v>GrounUp shall implement governed bid price execution capability 36 using versioned Phase 25 library data, explicit quantity/production assumptions, deterministic calculation lineage, tenant security and mapped acceptance evidence.</x:v>
      </x:c>
      <x:c r="E37" s="12" t="str">
        <x:v>Capability 36 passes when inputs, library snapshot/version, formulas/rules, units, output values, rounding, scenario behavior, overrides, audit lineage and mapped tests are reproducible.</x:v>
      </x:c>
      <x:c r="F37" s="12" t="str">
        <x:v>v1.0.0</x:v>
      </x:c>
      <x:c r="G37" s="12" t="str">
        <x:v>Implementation-ready</x:v>
      </x:c>
    </x:row>
    <x:row r="38">
      <x:c r="A38" s="12" t="str">
        <x:v>P26-REQ-037</x:v>
      </x:c>
      <x:c r="B38" s="12" t="str">
        <x:v>Low/High Range</x:v>
      </x:c>
      <x:c r="C38" s="12" t="str">
        <x:v>Must</x:v>
      </x:c>
      <x:c r="D38" s="12" t="str">
        <x:v>GrounUp shall implement governed low/high range execution capability 37 using versioned Phase 25 library data, explicit quantity/production assumptions, deterministic calculation lineage, tenant security and mapped acceptance evidence.</x:v>
      </x:c>
      <x:c r="E38" s="12" t="str">
        <x:v>Capability 37 passes when inputs, library snapshot/version, formulas/rules, units, output values, rounding, scenario behavior, overrides, audit lineage and mapped tests are reproducible.</x:v>
      </x:c>
      <x:c r="F38" s="12" t="str">
        <x:v>v1.0.0</x:v>
      </x:c>
      <x:c r="G38" s="12" t="str">
        <x:v>Implementation-ready</x:v>
      </x:c>
    </x:row>
    <x:row r="39">
      <x:c r="A39" s="12" t="str">
        <x:v>P26-REQ-038</x:v>
      </x:c>
      <x:c r="B39" s="12" t="str">
        <x:v>Scenario Comparison</x:v>
      </x:c>
      <x:c r="C39" s="12" t="str">
        <x:v>Must</x:v>
      </x:c>
      <x:c r="D39" s="12" t="str">
        <x:v>GrounUp shall implement governed scenario comparison execution capability 38 using versioned Phase 25 library data, explicit quantity/production assumptions, deterministic calculation lineage, tenant security and mapped acceptance evidence.</x:v>
      </x:c>
      <x:c r="E39" s="12" t="str">
        <x:v>Capability 38 passes when inputs, library snapshot/version, formulas/rules, units, output values, rounding, scenario behavior, overrides, audit lineage and mapped tests are reproducible.</x:v>
      </x:c>
      <x:c r="F39" s="12" t="str">
        <x:v>v1.0.0</x:v>
      </x:c>
      <x:c r="G39" s="12" t="str">
        <x:v>Implementation-ready</x:v>
      </x:c>
    </x:row>
    <x:row r="40">
      <x:c r="A40" s="12" t="str">
        <x:v>P26-REQ-039</x:v>
      </x:c>
      <x:c r="B40" s="12" t="str">
        <x:v>Estimate Confidence</x:v>
      </x:c>
      <x:c r="C40" s="12" t="str">
        <x:v>Must</x:v>
      </x:c>
      <x:c r="D40" s="12" t="str">
        <x:v>GrounUp shall implement governed estimate confidence execution capability 39 using versioned Phase 25 library data, explicit quantity/production assumptions, deterministic calculation lineage, tenant security and mapped acceptance evidence.</x:v>
      </x:c>
      <x:c r="E40" s="12" t="str">
        <x:v>Capability 39 passes when inputs, library snapshot/version, formulas/rules, units, output values, rounding, scenario behavior, overrides, audit lineage and mapped tests are reproducible.</x:v>
      </x:c>
      <x:c r="F40" s="12" t="str">
        <x:v>v1.0.0</x:v>
      </x:c>
      <x:c r="G40" s="12" t="str">
        <x:v>Implementation-ready</x:v>
      </x:c>
    </x:row>
    <x:row r="41">
      <x:c r="A41" s="12" t="str">
        <x:v>P26-REQ-040</x:v>
      </x:c>
      <x:c r="B41" s="12" t="str">
        <x:v>Regional Pricing</x:v>
      </x:c>
      <x:c r="C41" s="12" t="str">
        <x:v>Must</x:v>
      </x:c>
      <x:c r="D41" s="12" t="str">
        <x:v>GrounUp shall implement governed regional pricing execution capability 40 using versioned Phase 25 library data, explicit quantity/production assumptions, deterministic calculation lineage, tenant security and mapped acceptance evidence.</x:v>
      </x:c>
      <x:c r="E41" s="12" t="str">
        <x:v>Capability 40 passes when inputs, library snapshot/version, formulas/rules, units, output values, rounding, scenario behavior, overrides, audit lineage and mapped tests are reproducible.</x:v>
      </x:c>
      <x:c r="F41" s="12" t="str">
        <x:v>v1.0.0</x:v>
      </x:c>
      <x:c r="G41" s="12" t="str">
        <x:v>Implementation-ready</x:v>
      </x:c>
    </x:row>
    <x:row r="42">
      <x:c r="A42" s="12" t="str">
        <x:v>P26-REQ-041</x:v>
      </x:c>
      <x:c r="B42" s="12" t="str">
        <x:v>Vendor Quote Override</x:v>
      </x:c>
      <x:c r="C42" s="12" t="str">
        <x:v>Must</x:v>
      </x:c>
      <x:c r="D42" s="12" t="str">
        <x:v>GrounUp shall implement governed vendor quote override execution capability 41 using versioned Phase 25 library data, explicit quantity/production assumptions, deterministic calculation lineage, tenant security and mapped acceptance evidence.</x:v>
      </x:c>
      <x:c r="E42" s="12" t="str">
        <x:v>Capability 41 passes when inputs, library snapshot/version, formulas/rules, units, output values, rounding, scenario behavior, overrides, audit lineage and mapped tests are reproducible.</x:v>
      </x:c>
      <x:c r="F42" s="12" t="str">
        <x:v>v1.0.0</x:v>
      </x:c>
      <x:c r="G42" s="12" t="str">
        <x:v>Implementation-ready</x:v>
      </x:c>
    </x:row>
    <x:row r="43">
      <x:c r="A43" s="12" t="str">
        <x:v>P26-REQ-042</x:v>
      </x:c>
      <x:c r="B43" s="12" t="str">
        <x:v>Snapshot Reproducibility</x:v>
      </x:c>
      <x:c r="C43" s="12" t="str">
        <x:v>Must</x:v>
      </x:c>
      <x:c r="D43" s="12" t="str">
        <x:v>GrounUp shall implement governed snapshot reproducibility execution capability 42 using versioned Phase 25 library data, explicit quantity/production assumptions, deterministic calculation lineage, tenant security and mapped acceptance evidence.</x:v>
      </x:c>
      <x:c r="E43" s="12" t="str">
        <x:v>Capability 42 passes when inputs, library snapshot/version, formulas/rules, units, output values, rounding, scenario behavior, overrides, audit lineage and mapped tests are reproducible.</x:v>
      </x:c>
      <x:c r="F43" s="12" t="str">
        <x:v>v1.0.0</x:v>
      </x:c>
      <x:c r="G43" s="12" t="str">
        <x:v>Implementation-ready</x:v>
      </x:c>
    </x:row>
    <x:row r="44">
      <x:c r="A44" s="12" t="str">
        <x:v>P26-REQ-043</x:v>
      </x:c>
      <x:c r="B44" s="12" t="str">
        <x:v>Service Catalog Writeback</x:v>
      </x:c>
      <x:c r="C44" s="12" t="str">
        <x:v>Must</x:v>
      </x:c>
      <x:c r="D44" s="12" t="str">
        <x:v>GrounUp shall implement governed service catalog writeback execution capability 43 using versioned Phase 25 library data, explicit quantity/production assumptions, deterministic calculation lineage, tenant security and mapped acceptance evidence.</x:v>
      </x:c>
      <x:c r="E44" s="12" t="str">
        <x:v>Capability 43 passes when inputs, library snapshot/version, formulas/rules, units, output values, rounding, scenario behavior, overrides, audit lineage and mapped tests are reproducible.</x:v>
      </x:c>
      <x:c r="F44" s="12" t="str">
        <x:v>v1.0.0</x:v>
      </x:c>
      <x:c r="G44" s="12" t="str">
        <x:v>Implementation-ready</x:v>
      </x:c>
    </x:row>
    <x:row r="45">
      <x:c r="A45" s="12" t="str">
        <x:v>P26-REQ-044</x:v>
      </x:c>
      <x:c r="B45" s="12" t="str">
        <x:v>AI Estimate Assist</x:v>
      </x:c>
      <x:c r="C45" s="12" t="str">
        <x:v>Must</x:v>
      </x:c>
      <x:c r="D45" s="12" t="str">
        <x:v>GrounUp shall implement governed ai estimate assist execution capability 44 using versioned Phase 25 library data, explicit quantity/production assumptions, deterministic calculation lineage, tenant security and mapped acceptance evidence.</x:v>
      </x:c>
      <x:c r="E45" s="12" t="str">
        <x:v>Capability 44 passes when inputs, library snapshot/version, formulas/rules, units, output values, rounding, scenario behavior, overrides, audit lineage and mapped tests are reproducible.</x:v>
      </x:c>
      <x:c r="F45" s="12" t="str">
        <x:v>v1.0.0</x:v>
      </x:c>
      <x:c r="G45" s="12" t="str">
        <x:v>Implementation-ready</x:v>
      </x:c>
    </x:row>
    <x:row r="46">
      <x:c r="A46" s="12" t="str">
        <x:v>P26-REQ-045</x:v>
      </x:c>
      <x:c r="B46" s="12" t="str">
        <x:v>Estimate Review &amp; Approval</x:v>
      </x:c>
      <x:c r="C46" s="12" t="str">
        <x:v>Must</x:v>
      </x:c>
      <x:c r="D46" s="12" t="str">
        <x:v>GrounUp shall implement governed estimate review &amp; approval execution capability 45 using versioned Phase 25 library data, explicit quantity/production assumptions, deterministic calculation lineage, tenant security and mapped acceptance evidence.</x:v>
      </x:c>
      <x:c r="E46" s="12" t="str">
        <x:v>Capability 45 passes when inputs, library snapshot/version, formulas/rules, units, output values, rounding, scenario behavior, overrides, audit lineage and mapped tests are reproducible.</x:v>
      </x:c>
      <x:c r="F46" s="12" t="str">
        <x:v>v1.0.0</x:v>
      </x:c>
      <x:c r="G46" s="12" t="str">
        <x:v>Implementation-ready</x:v>
      </x:c>
    </x:row>
    <x:row r="47">
      <x:c r="A47" s="12" t="str">
        <x:v>P26-REQ-046</x:v>
      </x:c>
      <x:c r="B47" s="12" t="str">
        <x:v>Estimate Export</x:v>
      </x:c>
      <x:c r="C47" s="12" t="str">
        <x:v>Must</x:v>
      </x:c>
      <x:c r="D47" s="12" t="str">
        <x:v>GrounUp shall implement governed estimate export execution capability 46 using versioned Phase 25 library data, explicit quantity/production assumptions, deterministic calculation lineage, tenant security and mapped acceptance evidence.</x:v>
      </x:c>
      <x:c r="E47" s="12" t="str">
        <x:v>Capability 46 passes when inputs, library snapshot/version, formulas/rules, units, output values, rounding, scenario behavior, overrides, audit lineage and mapped tests are reproducible.</x:v>
      </x:c>
      <x:c r="F47" s="12" t="str">
        <x:v>v1.0.0</x:v>
      </x:c>
      <x:c r="G47" s="12" t="str">
        <x:v>Implementation-ready</x:v>
      </x:c>
    </x:row>
    <x:row r="48">
      <x:c r="A48" s="12" t="str">
        <x:v>P26-REQ-047</x:v>
      </x:c>
      <x:c r="B48" s="12" t="str">
        <x:v>Proposal Handoff</x:v>
      </x:c>
      <x:c r="C48" s="12" t="str">
        <x:v>Must</x:v>
      </x:c>
      <x:c r="D48" s="12" t="str">
        <x:v>GrounUp shall implement governed proposal handoff execution capability 47 using versioned Phase 25 library data, explicit quantity/production assumptions, deterministic calculation lineage, tenant security and mapped acceptance evidence.</x:v>
      </x:c>
      <x:c r="E48" s="12" t="str">
        <x:v>Capability 47 passes when inputs, library snapshot/version, formulas/rules, units, output values, rounding, scenario behavior, overrides, audit lineage and mapped tests are reproducible.</x:v>
      </x:c>
      <x:c r="F48" s="12" t="str">
        <x:v>v1.0.0</x:v>
      </x:c>
      <x:c r="G48" s="12" t="str">
        <x:v>Implementation-ready</x:v>
      </x:c>
    </x:row>
    <x:row r="49">
      <x:c r="A49" s="12" t="str">
        <x:v>P26-REQ-048</x:v>
      </x:c>
      <x:c r="B49" s="12" t="str">
        <x:v>Job Cost Baseline</x:v>
      </x:c>
      <x:c r="C49" s="12" t="str">
        <x:v>Must</x:v>
      </x:c>
      <x:c r="D49" s="12" t="str">
        <x:v>GrounUp shall implement governed job cost baseline execution capability 48 using versioned Phase 25 library data, explicit quantity/production assumptions, deterministic calculation lineage, tenant security and mapped acceptance evidence.</x:v>
      </x:c>
      <x:c r="E49" s="12" t="str">
        <x:v>Capability 48 passes when inputs, library snapshot/version, formulas/rules, units, output values, rounding, scenario behavior, overrides, audit lineage and mapped tests are reproducible.</x:v>
      </x:c>
      <x:c r="F49" s="12" t="str">
        <x:v>v1.0.0</x:v>
      </x:c>
      <x:c r="G49" s="12" t="str">
        <x:v>Implementation-ready</x:v>
      </x:c>
    </x:row>
    <x:row r="50">
      <x:c r="A50" s="12" t="str">
        <x:v>P26-REQ-049</x:v>
      </x:c>
      <x:c r="B50" s="12" t="str">
        <x:v>Audit &amp; Traceability</x:v>
      </x:c>
      <x:c r="C50" s="12" t="str">
        <x:v>Must</x:v>
      </x:c>
      <x:c r="D50" s="12" t="str">
        <x:v>GrounUp shall implement governed audit &amp; traceability execution capability 49 using versioned Phase 25 library data, explicit quantity/production assumptions, deterministic calculation lineage, tenant security and mapped acceptance evidence.</x:v>
      </x:c>
      <x:c r="E50" s="12" t="str">
        <x:v>Capability 49 passes when inputs, library snapshot/version, formulas/rules, units, output values, rounding, scenario behavior, overrides, audit lineage and mapped tests are reproducible.</x:v>
      </x:c>
      <x:c r="F50" s="12" t="str">
        <x:v>v1.0.0</x:v>
      </x:c>
      <x:c r="G50" s="12" t="str">
        <x:v>Implementation-ready</x:v>
      </x:c>
    </x:row>
    <x:row r="51">
      <x:c r="A51" s="12" t="str">
        <x:v>P26-REQ-050</x:v>
      </x:c>
      <x:c r="B51" s="12" t="str">
        <x:v>Estimate Lifecycle</x:v>
      </x:c>
      <x:c r="C51" s="12" t="str">
        <x:v>Must</x:v>
      </x:c>
      <x:c r="D51" s="12" t="str">
        <x:v>GrounUp shall implement governed estimate lifecycle execution capability 50 using versioned Phase 25 library data, explicit quantity/production assumptions, deterministic calculation lineage, tenant security and mapped acceptance evidence.</x:v>
      </x:c>
      <x:c r="E51" s="12" t="str">
        <x:v>Capability 50 passes when inputs, library snapshot/version, formulas/rules, units, output values, rounding, scenario behavior, overrides, audit lineage and mapped tests are reproducible.</x:v>
      </x:c>
      <x:c r="F51" s="12" t="str">
        <x:v>v1.0.0</x:v>
      </x:c>
      <x:c r="G51" s="12" t="str">
        <x:v>Implementation-ready</x:v>
      </x:c>
    </x:row>
    <x:row r="52">
      <x:c r="A52" s="12" t="str">
        <x:v>P26-REQ-051</x:v>
      </x:c>
      <x:c r="B52" s="12" t="str">
        <x:v>Estimate Versions</x:v>
      </x:c>
      <x:c r="C52" s="12" t="str">
        <x:v>Must</x:v>
      </x:c>
      <x:c r="D52" s="12" t="str">
        <x:v>GrounUp shall implement governed estimate versions execution capability 51 using versioned Phase 25 library data, explicit quantity/production assumptions, deterministic calculation lineage, tenant security and mapped acceptance evidence.</x:v>
      </x:c>
      <x:c r="E52" s="12" t="str">
        <x:v>Capability 51 passes when inputs, library snapshot/version, formulas/rules, units, output values, rounding, scenario behavior, overrides, audit lineage and mapped tests are reproducible.</x:v>
      </x:c>
      <x:c r="F52" s="12" t="str">
        <x:v>v1.0.0</x:v>
      </x:c>
      <x:c r="G52" s="12" t="str">
        <x:v>Implementation-ready</x:v>
      </x:c>
    </x:row>
    <x:row r="53">
      <x:c r="A53" s="12" t="str">
        <x:v>P26-REQ-052</x:v>
      </x:c>
      <x:c r="B53" s="12" t="str">
        <x:v>Estimate Templates</x:v>
      </x:c>
      <x:c r="C53" s="12" t="str">
        <x:v>Must</x:v>
      </x:c>
      <x:c r="D53" s="12" t="str">
        <x:v>GrounUp shall implement governed estimate templates execution capability 52 using versioned Phase 25 library data, explicit quantity/production assumptions, deterministic calculation lineage, tenant security and mapped acceptance evidence.</x:v>
      </x:c>
      <x:c r="E53" s="12" t="str">
        <x:v>Capability 52 passes when inputs, library snapshot/version, formulas/rules, units, output values, rounding, scenario behavior, overrides, audit lineage and mapped tests are reproducible.</x:v>
      </x:c>
      <x:c r="F53" s="12" t="str">
        <x:v>v1.0.0</x:v>
      </x:c>
      <x:c r="G53" s="12" t="str">
        <x:v>Implementation-ready</x:v>
      </x:c>
    </x:row>
    <x:row r="54">
      <x:c r="A54" s="12" t="str">
        <x:v>P26-REQ-053</x:v>
      </x:c>
      <x:c r="B54" s="12" t="str">
        <x:v>Service Selection</x:v>
      </x:c>
      <x:c r="C54" s="12" t="str">
        <x:v>Must</x:v>
      </x:c>
      <x:c r="D54" s="12" t="str">
        <x:v>GrounUp shall implement governed service selection execution capability 53 using versioned Phase 25 library data, explicit quantity/production assumptions, deterministic calculation lineage, tenant security and mapped acceptance evidence.</x:v>
      </x:c>
      <x:c r="E54" s="12" t="str">
        <x:v>Capability 53 passes when inputs, library snapshot/version, formulas/rules, units, output values, rounding, scenario behavior, overrides, audit lineage and mapped tests are reproducible.</x:v>
      </x:c>
      <x:c r="F54" s="12" t="str">
        <x:v>v1.0.0</x:v>
      </x:c>
      <x:c r="G54" s="12" t="str">
        <x:v>Implementation-ready</x:v>
      </x:c>
    </x:row>
    <x:row r="55">
      <x:c r="A55" s="12" t="str">
        <x:v>P26-REQ-054</x:v>
      </x:c>
      <x:c r="B55" s="12" t="str">
        <x:v>Assembly Expansion</x:v>
      </x:c>
      <x:c r="C55" s="12" t="str">
        <x:v>Must</x:v>
      </x:c>
      <x:c r="D55" s="12" t="str">
        <x:v>GrounUp shall implement governed assembly expansion execution capability 54 using versioned Phase 25 library data, explicit quantity/production assumptions, deterministic calculation lineage, tenant security and mapped acceptance evidence.</x:v>
      </x:c>
      <x:c r="E55" s="12" t="str">
        <x:v>Capability 54 passes when inputs, library snapshot/version, formulas/rules, units, output values, rounding, scenario behavior, overrides, audit lineage and mapped tests are reproducible.</x:v>
      </x:c>
      <x:c r="F55" s="12" t="str">
        <x:v>v1.0.0</x:v>
      </x:c>
      <x:c r="G55" s="12" t="str">
        <x:v>Implementation-ready</x:v>
      </x:c>
    </x:row>
    <x:row r="56">
      <x:c r="A56" s="12" t="str">
        <x:v>P26-REQ-055</x:v>
      </x:c>
      <x:c r="B56" s="12" t="str">
        <x:v>Quantity Input</x:v>
      </x:c>
      <x:c r="C56" s="12" t="str">
        <x:v>Must</x:v>
      </x:c>
      <x:c r="D56" s="12" t="str">
        <x:v>GrounUp shall implement governed quantity input execution capability 55 using versioned Phase 25 library data, explicit quantity/production assumptions, deterministic calculation lineage, tenant security and mapped acceptance evidence.</x:v>
      </x:c>
      <x:c r="E56" s="12" t="str">
        <x:v>Capability 55 passes when inputs, library snapshot/version, formulas/rules, units, output values, rounding, scenario behavior, overrides, audit lineage and mapped tests are reproducible.</x:v>
      </x:c>
      <x:c r="F56" s="12" t="str">
        <x:v>v1.0.0</x:v>
      </x:c>
      <x:c r="G56" s="12" t="str">
        <x:v>Implementation-ready</x:v>
      </x:c>
    </x:row>
    <x:row r="57">
      <x:c r="A57" s="12" t="str">
        <x:v>P26-REQ-056</x:v>
      </x:c>
      <x:c r="B57" s="12" t="str">
        <x:v>Quantity Takeoff Intake</x:v>
      </x:c>
      <x:c r="C57" s="12" t="str">
        <x:v>Must</x:v>
      </x:c>
      <x:c r="D57" s="12" t="str">
        <x:v>GrounUp shall implement governed quantity takeoff intake execution capability 56 using versioned Phase 25 library data, explicit quantity/production assumptions, deterministic calculation lineage, tenant security and mapped acceptance evidence.</x:v>
      </x:c>
      <x:c r="E57" s="12" t="str">
        <x:v>Capability 56 passes when inputs, library snapshot/version, formulas/rules, units, output values, rounding, scenario behavior, overrides, audit lineage and mapped tests are reproducible.</x:v>
      </x:c>
      <x:c r="F57" s="12" t="str">
        <x:v>v1.0.0</x:v>
      </x:c>
      <x:c r="G57" s="12" t="str">
        <x:v>Implementation-ready</x:v>
      </x:c>
    </x:row>
    <x:row r="58">
      <x:c r="A58" s="12" t="str">
        <x:v>P26-REQ-057</x:v>
      </x:c>
      <x:c r="B58" s="12" t="str">
        <x:v>Labor Cost</x:v>
      </x:c>
      <x:c r="C58" s="12" t="str">
        <x:v>Must</x:v>
      </x:c>
      <x:c r="D58" s="12" t="str">
        <x:v>GrounUp shall implement governed labor cost execution capability 57 using versioned Phase 25 library data, explicit quantity/production assumptions, deterministic calculation lineage, tenant security and mapped acceptance evidence.</x:v>
      </x:c>
      <x:c r="E58" s="12" t="str">
        <x:v>Capability 57 passes when inputs, library snapshot/version, formulas/rules, units, output values, rounding, scenario behavior, overrides, audit lineage and mapped tests are reproducible.</x:v>
      </x:c>
      <x:c r="F58" s="12" t="str">
        <x:v>v1.0.0</x:v>
      </x:c>
      <x:c r="G58" s="12" t="str">
        <x:v>Implementation-ready</x:v>
      </x:c>
    </x:row>
    <x:row r="59">
      <x:c r="A59" s="12" t="str">
        <x:v>P26-REQ-058</x:v>
      </x:c>
      <x:c r="B59" s="12" t="str">
        <x:v>Labor Burden</x:v>
      </x:c>
      <x:c r="C59" s="12" t="str">
        <x:v>Must</x:v>
      </x:c>
      <x:c r="D59" s="12" t="str">
        <x:v>GrounUp shall implement governed labor burden execution capability 58 using versioned Phase 25 library data, explicit quantity/production assumptions, deterministic calculation lineage, tenant security and mapped acceptance evidence.</x:v>
      </x:c>
      <x:c r="E59" s="12" t="str">
        <x:v>Capability 58 passes when inputs, library snapshot/version, formulas/rules, units, output values, rounding, scenario behavior, overrides, audit lineage and mapped tests are reproducible.</x:v>
      </x:c>
      <x:c r="F59" s="12" t="str">
        <x:v>v1.0.0</x:v>
      </x:c>
      <x:c r="G59" s="12" t="str">
        <x:v>Implementation-ready</x:v>
      </x:c>
    </x:row>
    <x:row r="60">
      <x:c r="A60" s="12" t="str">
        <x:v>P26-REQ-059</x:v>
      </x:c>
      <x:c r="B60" s="12" t="str">
        <x:v>Crew Composition</x:v>
      </x:c>
      <x:c r="C60" s="12" t="str">
        <x:v>Must</x:v>
      </x:c>
      <x:c r="D60" s="12" t="str">
        <x:v>GrounUp shall implement governed crew composition execution capability 59 using versioned Phase 25 library data, explicit quantity/production assumptions, deterministic calculation lineage, tenant security and mapped acceptance evidence.</x:v>
      </x:c>
      <x:c r="E60" s="12" t="str">
        <x:v>Capability 59 passes when inputs, library snapshot/version, formulas/rules, units, output values, rounding, scenario behavior, overrides, audit lineage and mapped tests are reproducible.</x:v>
      </x:c>
      <x:c r="F60" s="12" t="str">
        <x:v>v1.0.0</x:v>
      </x:c>
      <x:c r="G60" s="12" t="str">
        <x:v>Implementation-ready</x:v>
      </x:c>
    </x:row>
    <x:row r="61">
      <x:c r="A61" s="12" t="str">
        <x:v>P26-REQ-060</x:v>
      </x:c>
      <x:c r="B61" s="12" t="str">
        <x:v>Crew Size Recommendation</x:v>
      </x:c>
      <x:c r="C61" s="12" t="str">
        <x:v>Must</x:v>
      </x:c>
      <x:c r="D61" s="12" t="str">
        <x:v>GrounUp shall implement governed crew size recommendation execution capability 60 using versioned Phase 25 library data, explicit quantity/production assumptions, deterministic calculation lineage, tenant security and mapped acceptance evidence.</x:v>
      </x:c>
      <x:c r="E61" s="12" t="str">
        <x:v>Capability 60 passes when inputs, library snapshot/version, formulas/rules, units, output values, rounding, scenario behavior, overrides, audit lineage and mapped tests are reproducible.</x:v>
      </x:c>
      <x:c r="F61" s="12" t="str">
        <x:v>v1.0.0</x:v>
      </x:c>
      <x:c r="G61" s="12" t="str">
        <x:v>Implementation-ready</x:v>
      </x:c>
    </x:row>
    <x:row r="62">
      <x:c r="A62" s="12" t="str">
        <x:v>P26-REQ-061</x:v>
      </x:c>
      <x:c r="B62" s="12" t="str">
        <x:v>Equipment Selection</x:v>
      </x:c>
      <x:c r="C62" s="12" t="str">
        <x:v>Must</x:v>
      </x:c>
      <x:c r="D62" s="12" t="str">
        <x:v>GrounUp shall implement governed equipment selection execution capability 61 using versioned Phase 25 library data, explicit quantity/production assumptions, deterministic calculation lineage, tenant security and mapped acceptance evidence.</x:v>
      </x:c>
      <x:c r="E62" s="12" t="str">
        <x:v>Capability 61 passes when inputs, library snapshot/version, formulas/rules, units, output values, rounding, scenario behavior, overrides, audit lineage and mapped tests are reproducible.</x:v>
      </x:c>
      <x:c r="F62" s="12" t="str">
        <x:v>v1.0.0</x:v>
      </x:c>
      <x:c r="G62" s="12" t="str">
        <x:v>Implementation-ready</x:v>
      </x:c>
    </x:row>
    <x:row r="63">
      <x:c r="A63" s="12" t="str">
        <x:v>P26-REQ-062</x:v>
      </x:c>
      <x:c r="B63" s="12" t="str">
        <x:v>Equipment Cost</x:v>
      </x:c>
      <x:c r="C63" s="12" t="str">
        <x:v>Must</x:v>
      </x:c>
      <x:c r="D63" s="12" t="str">
        <x:v>GrounUp shall implement governed equipment cost execution capability 62 using versioned Phase 25 library data, explicit quantity/production assumptions, deterministic calculation lineage, tenant security and mapped acceptance evidence.</x:v>
      </x:c>
      <x:c r="E63" s="12" t="str">
        <x:v>Capability 62 passes when inputs, library snapshot/version, formulas/rules, units, output values, rounding, scenario behavior, overrides, audit lineage and mapped tests are reproducible.</x:v>
      </x:c>
      <x:c r="F63" s="12" t="str">
        <x:v>v1.0.0</x:v>
      </x:c>
      <x:c r="G63" s="12" t="str">
        <x:v>Implementation-ready</x:v>
      </x:c>
    </x:row>
    <x:row r="64">
      <x:c r="A64" s="12" t="str">
        <x:v>P26-REQ-063</x:v>
      </x:c>
      <x:c r="B64" s="12" t="str">
        <x:v>Equipment Rate Selection</x:v>
      </x:c>
      <x:c r="C64" s="12" t="str">
        <x:v>Must</x:v>
      </x:c>
      <x:c r="D64" s="12" t="str">
        <x:v>GrounUp shall implement governed equipment rate selection execution capability 63 using versioned Phase 25 library data, explicit quantity/production assumptions, deterministic calculation lineage, tenant security and mapped acceptance evidence.</x:v>
      </x:c>
      <x:c r="E64" s="12" t="str">
        <x:v>Capability 63 passes when inputs, library snapshot/version, formulas/rules, units, output values, rounding, scenario behavior, overrides, audit lineage and mapped tests are reproducible.</x:v>
      </x:c>
      <x:c r="F64" s="12" t="str">
        <x:v>v1.0.0</x:v>
      </x:c>
      <x:c r="G64" s="12" t="str">
        <x:v>Implementation-ready</x:v>
      </x:c>
    </x:row>
    <x:row r="65">
      <x:c r="A65" s="12" t="str">
        <x:v>P26-REQ-064</x:v>
      </x:c>
      <x:c r="B65" s="12" t="str">
        <x:v>Fuel Consumption</x:v>
      </x:c>
      <x:c r="C65" s="12" t="str">
        <x:v>Must</x:v>
      </x:c>
      <x:c r="D65" s="12" t="str">
        <x:v>GrounUp shall implement governed fuel consumption execution capability 64 using versioned Phase 25 library data, explicit quantity/production assumptions, deterministic calculation lineage, tenant security and mapped acceptance evidence.</x:v>
      </x:c>
      <x:c r="E65" s="12" t="str">
        <x:v>Capability 64 passes when inputs, library snapshot/version, formulas/rules, units, output values, rounding, scenario behavior, overrides, audit lineage and mapped tests are reproducible.</x:v>
      </x:c>
      <x:c r="F65" s="12" t="str">
        <x:v>v1.0.0</x:v>
      </x:c>
      <x:c r="G65" s="12" t="str">
        <x:v>Implementation-ready</x:v>
      </x:c>
    </x:row>
    <x:row r="66">
      <x:c r="A66" s="12" t="str">
        <x:v>P26-REQ-065</x:v>
      </x:c>
      <x:c r="B66" s="12" t="str">
        <x:v>Truck Selection</x:v>
      </x:c>
      <x:c r="C66" s="12" t="str">
        <x:v>Must</x:v>
      </x:c>
      <x:c r="D66" s="12" t="str">
        <x:v>GrounUp shall implement governed truck selection execution capability 65 using versioned Phase 25 library data, explicit quantity/production assumptions, deterministic calculation lineage, tenant security and mapped acceptance evidence.</x:v>
      </x:c>
      <x:c r="E66" s="12" t="str">
        <x:v>Capability 65 passes when inputs, library snapshot/version, formulas/rules, units, output values, rounding, scenario behavior, overrides, audit lineage and mapped tests are reproducible.</x:v>
      </x:c>
      <x:c r="F66" s="12" t="str">
        <x:v>v1.0.0</x:v>
      </x:c>
      <x:c r="G66" s="12" t="str">
        <x:v>Implementation-ready</x:v>
      </x:c>
    </x:row>
    <x:row r="67">
      <x:c r="A67" s="12" t="str">
        <x:v>P26-REQ-066</x:v>
      </x:c>
      <x:c r="B67" s="12" t="str">
        <x:v>Truck Cycle Calculation</x:v>
      </x:c>
      <x:c r="C67" s="12" t="str">
        <x:v>Must</x:v>
      </x:c>
      <x:c r="D67" s="12" t="str">
        <x:v>GrounUp shall implement governed truck cycle calculation execution capability 66 using versioned Phase 25 library data, explicit quantity/production assumptions, deterministic calculation lineage, tenant security and mapped acceptance evidence.</x:v>
      </x:c>
      <x:c r="E67" s="12" t="str">
        <x:v>Capability 66 passes when inputs, library snapshot/version, formulas/rules, units, output values, rounding, scenario behavior, overrides, audit lineage and mapped tests are reproducible.</x:v>
      </x:c>
      <x:c r="F67" s="12" t="str">
        <x:v>v1.0.0</x:v>
      </x:c>
      <x:c r="G67" s="12" t="str">
        <x:v>Implementation-ready</x:v>
      </x:c>
    </x:row>
    <x:row r="68">
      <x:c r="A68" s="12" t="str">
        <x:v>P26-REQ-067</x:v>
      </x:c>
      <x:c r="B68" s="12" t="str">
        <x:v>Truck Count</x:v>
      </x:c>
      <x:c r="C68" s="12" t="str">
        <x:v>Must</x:v>
      </x:c>
      <x:c r="D68" s="12" t="str">
        <x:v>GrounUp shall implement governed truck count execution capability 67 using versioned Phase 25 library data, explicit quantity/production assumptions, deterministic calculation lineage, tenant security and mapped acceptance evidence.</x:v>
      </x:c>
      <x:c r="E68" s="12" t="str">
        <x:v>Capability 67 passes when inputs, library snapshot/version, formulas/rules, units, output values, rounding, scenario behavior, overrides, audit lineage and mapped tests are reproducible.</x:v>
      </x:c>
      <x:c r="F68" s="12" t="str">
        <x:v>v1.0.0</x:v>
      </x:c>
      <x:c r="G68" s="12" t="str">
        <x:v>Implementation-ready</x:v>
      </x:c>
    </x:row>
    <x:row r="69">
      <x:c r="A69" s="12" t="str">
        <x:v>P26-REQ-068</x:v>
      </x:c>
      <x:c r="B69" s="12" t="str">
        <x:v>Haul Distance</x:v>
      </x:c>
      <x:c r="C69" s="12" t="str">
        <x:v>Must</x:v>
      </x:c>
      <x:c r="D69" s="12" t="str">
        <x:v>GrounUp shall implement governed haul distance execution capability 68 using versioned Phase 25 library data, explicit quantity/production assumptions, deterministic calculation lineage, tenant security and mapped acceptance evidence.</x:v>
      </x:c>
      <x:c r="E69" s="12" t="str">
        <x:v>Capability 68 passes when inputs, library snapshot/version, formulas/rules, units, output values, rounding, scenario behavior, overrides, audit lineage and mapped tests are reproducible.</x:v>
      </x:c>
      <x:c r="F69" s="12" t="str">
        <x:v>v1.0.0</x:v>
      </x:c>
      <x:c r="G69" s="12" t="str">
        <x:v>Implementation-ready</x:v>
      </x:c>
    </x:row>
    <x:row r="70">
      <x:c r="A70" s="12" t="str">
        <x:v>P26-REQ-069</x:v>
      </x:c>
      <x:c r="B70" s="12" t="str">
        <x:v>Disposal Cost</x:v>
      </x:c>
      <x:c r="C70" s="12" t="str">
        <x:v>Must</x:v>
      </x:c>
      <x:c r="D70" s="12" t="str">
        <x:v>GrounUp shall implement governed disposal cost execution capability 69 using versioned Phase 25 library data, explicit quantity/production assumptions, deterministic calculation lineage, tenant security and mapped acceptance evidence.</x:v>
      </x:c>
      <x:c r="E70" s="12" t="str">
        <x:v>Capability 69 passes when inputs, library snapshot/version, formulas/rules, units, output values, rounding, scenario behavior, overrides, audit lineage and mapped tests are reproducible.</x:v>
      </x:c>
      <x:c r="F70" s="12" t="str">
        <x:v>v1.0.0</x:v>
      </x:c>
      <x:c r="G70" s="12" t="str">
        <x:v>Implementation-ready</x:v>
      </x:c>
    </x:row>
    <x:row r="71">
      <x:c r="A71" s="12" t="str">
        <x:v>P26-REQ-070</x:v>
      </x:c>
      <x:c r="B71" s="12" t="str">
        <x:v>Material Cost</x:v>
      </x:c>
      <x:c r="C71" s="12" t="str">
        <x:v>Must</x:v>
      </x:c>
      <x:c r="D71" s="12" t="str">
        <x:v>GrounUp shall implement governed material cost execution capability 70 using versioned Phase 25 library data, explicit quantity/production assumptions, deterministic calculation lineage, tenant security and mapped acceptance evidence.</x:v>
      </x:c>
      <x:c r="E71" s="12" t="str">
        <x:v>Capability 70 passes when inputs, library snapshot/version, formulas/rules, units, output values, rounding, scenario behavior, overrides, audit lineage and mapped tests are reproducible.</x:v>
      </x:c>
      <x:c r="F71" s="12" t="str">
        <x:v>v1.0.0</x:v>
      </x:c>
      <x:c r="G71" s="12" t="str">
        <x:v>Implementation-ready</x:v>
      </x:c>
    </x:row>
    <x:row r="72">
      <x:c r="A72" s="12" t="str">
        <x:v>P26-REQ-071</x:v>
      </x:c>
      <x:c r="B72" s="12" t="str">
        <x:v>Material Waste</x:v>
      </x:c>
      <x:c r="C72" s="12" t="str">
        <x:v>Must</x:v>
      </x:c>
      <x:c r="D72" s="12" t="str">
        <x:v>GrounUp shall implement governed material waste execution capability 71 using versioned Phase 25 library data, explicit quantity/production assumptions, deterministic calculation lineage, tenant security and mapped acceptance evidence.</x:v>
      </x:c>
      <x:c r="E72" s="12" t="str">
        <x:v>Capability 71 passes when inputs, library snapshot/version, formulas/rules, units, output values, rounding, scenario behavior, overrides, audit lineage and mapped tests are reproducible.</x:v>
      </x:c>
      <x:c r="F72" s="12" t="str">
        <x:v>v1.0.0</x:v>
      </x:c>
      <x:c r="G72" s="12" t="str">
        <x:v>Implementation-ready</x:v>
      </x:c>
    </x:row>
    <x:row r="73">
      <x:c r="A73" s="12" t="str">
        <x:v>P26-REQ-072</x:v>
      </x:c>
      <x:c r="B73" s="12" t="str">
        <x:v>Subcontract Cost</x:v>
      </x:c>
      <x:c r="C73" s="12" t="str">
        <x:v>Must</x:v>
      </x:c>
      <x:c r="D73" s="12" t="str">
        <x:v>GrounUp shall implement governed subcontract cost execution capability 72 using versioned Phase 25 library data, explicit quantity/production assumptions, deterministic calculation lineage, tenant security and mapped acceptance evidence.</x:v>
      </x:c>
      <x:c r="E73" s="12" t="str">
        <x:v>Capability 72 passes when inputs, library snapshot/version, formulas/rules, units, output values, rounding, scenario behavior, overrides, audit lineage and mapped tests are reproducible.</x:v>
      </x:c>
      <x:c r="F73" s="12" t="str">
        <x:v>v1.0.0</x:v>
      </x:c>
      <x:c r="G73" s="12" t="str">
        <x:v>Implementation-ready</x:v>
      </x:c>
    </x:row>
    <x:row r="74">
      <x:c r="A74" s="12" t="str">
        <x:v>P26-REQ-073</x:v>
      </x:c>
      <x:c r="B74" s="12" t="str">
        <x:v>Production Rate</x:v>
      </x:c>
      <x:c r="C74" s="12" t="str">
        <x:v>Must</x:v>
      </x:c>
      <x:c r="D74" s="12" t="str">
        <x:v>GrounUp shall implement governed production rate execution capability 73 using versioned Phase 25 library data, explicit quantity/production assumptions, deterministic calculation lineage, tenant security and mapped acceptance evidence.</x:v>
      </x:c>
      <x:c r="E74" s="12" t="str">
        <x:v>Capability 73 passes when inputs, library snapshot/version, formulas/rules, units, output values, rounding, scenario behavior, overrides, audit lineage and mapped tests are reproducible.</x:v>
      </x:c>
      <x:c r="F74" s="12" t="str">
        <x:v>v1.0.0</x:v>
      </x:c>
      <x:c r="G74" s="12" t="str">
        <x:v>Implementation-ready</x:v>
      </x:c>
    </x:row>
    <x:row r="75">
      <x:c r="A75" s="12" t="str">
        <x:v>P26-REQ-074</x:v>
      </x:c>
      <x:c r="B75" s="12" t="str">
        <x:v>Production Modifiers</x:v>
      </x:c>
      <x:c r="C75" s="12" t="str">
        <x:v>Must</x:v>
      </x:c>
      <x:c r="D75" s="12" t="str">
        <x:v>GrounUp shall implement governed production modifiers execution capability 74 using versioned Phase 25 library data, explicit quantity/production assumptions, deterministic calculation lineage, tenant security and mapped acceptance evidence.</x:v>
      </x:c>
      <x:c r="E75" s="12" t="str">
        <x:v>Capability 74 passes when inputs, library snapshot/version, formulas/rules, units, output values, rounding, scenario behavior, overrides, audit lineage and mapped tests are reproducible.</x:v>
      </x:c>
      <x:c r="F75" s="12" t="str">
        <x:v>v1.0.0</x:v>
      </x:c>
      <x:c r="G75" s="12" t="str">
        <x:v>Implementation-ready</x:v>
      </x:c>
    </x:row>
    <x:row r="76">
      <x:c r="A76" s="12" t="str">
        <x:v>P26-REQ-075</x:v>
      </x:c>
      <x:c r="B76" s="12" t="str">
        <x:v>Duration Calculation</x:v>
      </x:c>
      <x:c r="C76" s="12" t="str">
        <x:v>Must</x:v>
      </x:c>
      <x:c r="D76" s="12" t="str">
        <x:v>GrounUp shall implement governed duration calculation execution capability 75 using versioned Phase 25 library data, explicit quantity/production assumptions, deterministic calculation lineage, tenant security and mapped acceptance evidence.</x:v>
      </x:c>
      <x:c r="E76" s="12" t="str">
        <x:v>Capability 75 passes when inputs, library snapshot/version, formulas/rules, units, output values, rounding, scenario behavior, overrides, audit lineage and mapped tests are reproducible.</x:v>
      </x:c>
      <x:c r="F76" s="12" t="str">
        <x:v>v1.0.0</x:v>
      </x:c>
      <x:c r="G76" s="12" t="str">
        <x:v>Implementation-ready</x:v>
      </x:c>
    </x:row>
    <x:row r="77">
      <x:c r="A77" s="12" t="str">
        <x:v>P26-REQ-076</x:v>
      </x:c>
      <x:c r="B77" s="12" t="str">
        <x:v>Work Hours &amp; Shifts</x:v>
      </x:c>
      <x:c r="C77" s="12" t="str">
        <x:v>Must</x:v>
      </x:c>
      <x:c r="D77" s="12" t="str">
        <x:v>GrounUp shall implement governed work hours &amp; shifts execution capability 76 using versioned Phase 25 library data, explicit quantity/production assumptions, deterministic calculation lineage, tenant security and mapped acceptance evidence.</x:v>
      </x:c>
      <x:c r="E77" s="12" t="str">
        <x:v>Capability 76 passes when inputs, library snapshot/version, formulas/rules, units, output values, rounding, scenario behavior, overrides, audit lineage and mapped tests are reproducible.</x:v>
      </x:c>
      <x:c r="F77" s="12" t="str">
        <x:v>v1.0.0</x:v>
      </x:c>
      <x:c r="G77" s="12" t="str">
        <x:v>Implementation-ready</x:v>
      </x:c>
    </x:row>
    <x:row r="78">
      <x:c r="A78" s="12" t="str">
        <x:v>P26-REQ-077</x:v>
      </x:c>
      <x:c r="B78" s="12" t="str">
        <x:v>Mobilization</x:v>
      </x:c>
      <x:c r="C78" s="12" t="str">
        <x:v>Must</x:v>
      </x:c>
      <x:c r="D78" s="12" t="str">
        <x:v>GrounUp shall implement governed mobilization execution capability 77 using versioned Phase 25 library data, explicit quantity/production assumptions, deterministic calculation lineage, tenant security and mapped acceptance evidence.</x:v>
      </x:c>
      <x:c r="E78" s="12" t="str">
        <x:v>Capability 77 passes when inputs, library snapshot/version, formulas/rules, units, output values, rounding, scenario behavior, overrides, audit lineage and mapped tests are reproducible.</x:v>
      </x:c>
      <x:c r="F78" s="12" t="str">
        <x:v>v1.0.0</x:v>
      </x:c>
      <x:c r="G78" s="12" t="str">
        <x:v>Implementation-ready</x:v>
      </x:c>
    </x:row>
    <x:row r="79">
      <x:c r="A79" s="12" t="str">
        <x:v>P26-REQ-078</x:v>
      </x:c>
      <x:c r="B79" s="12" t="str">
        <x:v>Demobilization</x:v>
      </x:c>
      <x:c r="C79" s="12" t="str">
        <x:v>Must</x:v>
      </x:c>
      <x:c r="D79" s="12" t="str">
        <x:v>GrounUp shall implement governed demobilization execution capability 78 using versioned Phase 25 library data, explicit quantity/production assumptions, deterministic calculation lineage, tenant security and mapped acceptance evidence.</x:v>
      </x:c>
      <x:c r="E79" s="12" t="str">
        <x:v>Capability 78 passes when inputs, library snapshot/version, formulas/rules, units, output values, rounding, scenario behavior, overrides, audit lineage and mapped tests are reproducible.</x:v>
      </x:c>
      <x:c r="F79" s="12" t="str">
        <x:v>v1.0.0</x:v>
      </x:c>
      <x:c r="G79" s="12" t="str">
        <x:v>Implementation-ready</x:v>
      </x:c>
    </x:row>
    <x:row r="80">
      <x:c r="A80" s="12" t="str">
        <x:v>P26-REQ-079</x:v>
      </x:c>
      <x:c r="B80" s="12" t="str">
        <x:v>Indirect Costs</x:v>
      </x:c>
      <x:c r="C80" s="12" t="str">
        <x:v>Must</x:v>
      </x:c>
      <x:c r="D80" s="12" t="str">
        <x:v>GrounUp shall implement governed indirect costs execution capability 79 using versioned Phase 25 library data, explicit quantity/production assumptions, deterministic calculation lineage, tenant security and mapped acceptance evidence.</x:v>
      </x:c>
      <x:c r="E80" s="12" t="str">
        <x:v>Capability 79 passes when inputs, library snapshot/version, formulas/rules, units, output values, rounding, scenario behavior, overrides, audit lineage and mapped tests are reproducible.</x:v>
      </x:c>
      <x:c r="F80" s="12" t="str">
        <x:v>v1.0.0</x:v>
      </x:c>
      <x:c r="G80" s="12" t="str">
        <x:v>Implementation-ready</x:v>
      </x:c>
    </x:row>
    <x:row r="81">
      <x:c r="A81" s="12" t="str">
        <x:v>P26-REQ-080</x:v>
      </x:c>
      <x:c r="B81" s="12" t="str">
        <x:v>Contingency</x:v>
      </x:c>
      <x:c r="C81" s="12" t="str">
        <x:v>Must</x:v>
      </x:c>
      <x:c r="D81" s="12" t="str">
        <x:v>GrounUp shall implement governed contingency execution capability 80 using versioned Phase 25 library data, explicit quantity/production assumptions, deterministic calculation lineage, tenant security and mapped acceptance evidence.</x:v>
      </x:c>
      <x:c r="E81" s="12" t="str">
        <x:v>Capability 80 passes when inputs, library snapshot/version, formulas/rules, units, output values, rounding, scenario behavior, overrides, audit lineage and mapped tests are reproducible.</x:v>
      </x:c>
      <x:c r="F81" s="12" t="str">
        <x:v>v1.0.0</x:v>
      </x:c>
      <x:c r="G81" s="12" t="str">
        <x:v>Implementation-ready</x:v>
      </x:c>
    </x:row>
    <x:row r="82">
      <x:c r="A82" s="12" t="str">
        <x:v>P26-REQ-081</x:v>
      </x:c>
      <x:c r="B82" s="12" t="str">
        <x:v>Markup</x:v>
      </x:c>
      <x:c r="C82" s="12" t="str">
        <x:v>Must</x:v>
      </x:c>
      <x:c r="D82" s="12" t="str">
        <x:v>GrounUp shall implement governed markup execution capability 81 using versioned Phase 25 library data, explicit quantity/production assumptions, deterministic calculation lineage, tenant security and mapped acceptance evidence.</x:v>
      </x:c>
      <x:c r="E82" s="12" t="str">
        <x:v>Capability 81 passes when inputs, library snapshot/version, formulas/rules, units, output values, rounding, scenario behavior, overrides, audit lineage and mapped tests are reproducible.</x:v>
      </x:c>
      <x:c r="F82" s="12" t="str">
        <x:v>v1.0.0</x:v>
      </x:c>
      <x:c r="G82" s="12" t="str">
        <x:v>Implementation-ready</x:v>
      </x:c>
    </x:row>
    <x:row r="83">
      <x:c r="A83" s="12" t="str">
        <x:v>P26-REQ-082</x:v>
      </x:c>
      <x:c r="B83" s="12" t="str">
        <x:v>Overhead &amp; Profit</x:v>
      </x:c>
      <x:c r="C83" s="12" t="str">
        <x:v>Must</x:v>
      </x:c>
      <x:c r="D83" s="12" t="str">
        <x:v>GrounUp shall implement governed overhead &amp; profit execution capability 82 using versioned Phase 25 library data, explicit quantity/production assumptions, deterministic calculation lineage, tenant security and mapped acceptance evidence.</x:v>
      </x:c>
      <x:c r="E83" s="12" t="str">
        <x:v>Capability 82 passes when inputs, library snapshot/version, formulas/rules, units, output values, rounding, scenario behavior, overrides, audit lineage and mapped tests are reproducible.</x:v>
      </x:c>
      <x:c r="F83" s="12" t="str">
        <x:v>v1.0.0</x:v>
      </x:c>
      <x:c r="G83" s="12" t="str">
        <x:v>Implementation-ready</x:v>
      </x:c>
    </x:row>
    <x:row r="84">
      <x:c r="A84" s="12" t="str">
        <x:v>P26-REQ-083</x:v>
      </x:c>
      <x:c r="B84" s="12" t="str">
        <x:v>Tax &amp; Bond</x:v>
      </x:c>
      <x:c r="C84" s="12" t="str">
        <x:v>Must</x:v>
      </x:c>
      <x:c r="D84" s="12" t="str">
        <x:v>GrounUp shall implement governed tax &amp; bond execution capability 83 using versioned Phase 25 library data, explicit quantity/production assumptions, deterministic calculation lineage, tenant security and mapped acceptance evidence.</x:v>
      </x:c>
      <x:c r="E84" s="12" t="str">
        <x:v>Capability 83 passes when inputs, library snapshot/version, formulas/rules, units, output values, rounding, scenario behavior, overrides, audit lineage and mapped tests are reproducible.</x:v>
      </x:c>
      <x:c r="F84" s="12" t="str">
        <x:v>v1.0.0</x:v>
      </x:c>
      <x:c r="G84" s="12" t="str">
        <x:v>Implementation-ready</x:v>
      </x:c>
    </x:row>
    <x:row r="85">
      <x:c r="A85" s="12" t="str">
        <x:v>P26-REQ-084</x:v>
      </x:c>
      <x:c r="B85" s="12" t="str">
        <x:v>Unit Price</x:v>
      </x:c>
      <x:c r="C85" s="12" t="str">
        <x:v>Must</x:v>
      </x:c>
      <x:c r="D85" s="12" t="str">
        <x:v>GrounUp shall implement governed unit price execution capability 84 using versioned Phase 25 library data, explicit quantity/production assumptions, deterministic calculation lineage, tenant security and mapped acceptance evidence.</x:v>
      </x:c>
      <x:c r="E85" s="12" t="str">
        <x:v>Capability 84 passes when inputs, library snapshot/version, formulas/rules, units, output values, rounding, scenario behavior, overrides, audit lineage and mapped tests are reproducible.</x:v>
      </x:c>
      <x:c r="F85" s="12" t="str">
        <x:v>v1.0.0</x:v>
      </x:c>
      <x:c r="G85" s="12" t="str">
        <x:v>Implementation-ready</x:v>
      </x:c>
    </x:row>
    <x:row r="86">
      <x:c r="A86" s="12" t="str">
        <x:v>P26-REQ-085</x:v>
      </x:c>
      <x:c r="B86" s="12" t="str">
        <x:v>Bid Price</x:v>
      </x:c>
      <x:c r="C86" s="12" t="str">
        <x:v>Must</x:v>
      </x:c>
      <x:c r="D86" s="12" t="str">
        <x:v>GrounUp shall implement governed bid price execution capability 85 using versioned Phase 25 library data, explicit quantity/production assumptions, deterministic calculation lineage, tenant security and mapped acceptance evidence.</x:v>
      </x:c>
      <x:c r="E86" s="12" t="str">
        <x:v>Capability 85 passes when inputs, library snapshot/version, formulas/rules, units, output values, rounding, scenario behavior, overrides, audit lineage and mapped tests are reproducible.</x:v>
      </x:c>
      <x:c r="F86" s="12" t="str">
        <x:v>v1.0.0</x:v>
      </x:c>
      <x:c r="G86" s="12" t="str">
        <x:v>Implementation-ready</x:v>
      </x:c>
    </x:row>
    <x:row r="87">
      <x:c r="A87" s="12" t="str">
        <x:v>P26-REQ-086</x:v>
      </x:c>
      <x:c r="B87" s="12" t="str">
        <x:v>Low/High Range</x:v>
      </x:c>
      <x:c r="C87" s="12" t="str">
        <x:v>Must</x:v>
      </x:c>
      <x:c r="D87" s="12" t="str">
        <x:v>GrounUp shall implement governed low/high range execution capability 86 using versioned Phase 25 library data, explicit quantity/production assumptions, deterministic calculation lineage, tenant security and mapped acceptance evidence.</x:v>
      </x:c>
      <x:c r="E87" s="12" t="str">
        <x:v>Capability 86 passes when inputs, library snapshot/version, formulas/rules, units, output values, rounding, scenario behavior, overrides, audit lineage and mapped tests are reproducible.</x:v>
      </x:c>
      <x:c r="F87" s="12" t="str">
        <x:v>v1.0.0</x:v>
      </x:c>
      <x:c r="G87" s="12" t="str">
        <x:v>Implementation-ready</x:v>
      </x:c>
    </x:row>
    <x:row r="88">
      <x:c r="A88" s="12" t="str">
        <x:v>P26-REQ-087</x:v>
      </x:c>
      <x:c r="B88" s="12" t="str">
        <x:v>Scenario Comparison</x:v>
      </x:c>
      <x:c r="C88" s="12" t="str">
        <x:v>Must</x:v>
      </x:c>
      <x:c r="D88" s="12" t="str">
        <x:v>GrounUp shall implement governed scenario comparison execution capability 87 using versioned Phase 25 library data, explicit quantity/production assumptions, deterministic calculation lineage, tenant security and mapped acceptance evidence.</x:v>
      </x:c>
      <x:c r="E88" s="12" t="str">
        <x:v>Capability 87 passes when inputs, library snapshot/version, formulas/rules, units, output values, rounding, scenario behavior, overrides, audit lineage and mapped tests are reproducible.</x:v>
      </x:c>
      <x:c r="F88" s="12" t="str">
        <x:v>v1.0.0</x:v>
      </x:c>
      <x:c r="G88" s="12" t="str">
        <x:v>Implementation-ready</x:v>
      </x:c>
    </x:row>
    <x:row r="89">
      <x:c r="A89" s="12" t="str">
        <x:v>P26-REQ-088</x:v>
      </x:c>
      <x:c r="B89" s="12" t="str">
        <x:v>Estimate Confidence</x:v>
      </x:c>
      <x:c r="C89" s="12" t="str">
        <x:v>Must</x:v>
      </x:c>
      <x:c r="D89" s="12" t="str">
        <x:v>GrounUp shall implement governed estimate confidence execution capability 88 using versioned Phase 25 library data, explicit quantity/production assumptions, deterministic calculation lineage, tenant security and mapped acceptance evidence.</x:v>
      </x:c>
      <x:c r="E89" s="12" t="str">
        <x:v>Capability 88 passes when inputs, library snapshot/version, formulas/rules, units, output values, rounding, scenario behavior, overrides, audit lineage and mapped tests are reproducible.</x:v>
      </x:c>
      <x:c r="F89" s="12" t="str">
        <x:v>v1.0.0</x:v>
      </x:c>
      <x:c r="G89" s="12" t="str">
        <x:v>Implementation-ready</x:v>
      </x:c>
    </x:row>
    <x:row r="90">
      <x:c r="A90" s="12" t="str">
        <x:v>P26-REQ-089</x:v>
      </x:c>
      <x:c r="B90" s="12" t="str">
        <x:v>Regional Pricing</x:v>
      </x:c>
      <x:c r="C90" s="12" t="str">
        <x:v>Must</x:v>
      </x:c>
      <x:c r="D90" s="12" t="str">
        <x:v>GrounUp shall implement governed regional pricing execution capability 89 using versioned Phase 25 library data, explicit quantity/production assumptions, deterministic calculation lineage, tenant security and mapped acceptance evidence.</x:v>
      </x:c>
      <x:c r="E90" s="12" t="str">
        <x:v>Capability 89 passes when inputs, library snapshot/version, formulas/rules, units, output values, rounding, scenario behavior, overrides, audit lineage and mapped tests are reproducible.</x:v>
      </x:c>
      <x:c r="F90" s="12" t="str">
        <x:v>v1.0.0</x:v>
      </x:c>
      <x:c r="G90" s="12" t="str">
        <x:v>Implementation-ready</x:v>
      </x:c>
    </x:row>
    <x:row r="91">
      <x:c r="A91" s="12" t="str">
        <x:v>P26-REQ-090</x:v>
      </x:c>
      <x:c r="B91" s="12" t="str">
        <x:v>Vendor Quote Override</x:v>
      </x:c>
      <x:c r="C91" s="12" t="str">
        <x:v>Must</x:v>
      </x:c>
      <x:c r="D91" s="12" t="str">
        <x:v>GrounUp shall implement governed vendor quote override execution capability 90 using versioned Phase 25 library data, explicit quantity/production assumptions, deterministic calculation lineage, tenant security and mapped acceptance evidence.</x:v>
      </x:c>
      <x:c r="E91" s="12" t="str">
        <x:v>Capability 90 passes when inputs, library snapshot/version, formulas/rules, units, output values, rounding, scenario behavior, overrides, audit lineage and mapped tests are reproducible.</x:v>
      </x:c>
      <x:c r="F91" s="12" t="str">
        <x:v>v1.0.0</x:v>
      </x:c>
      <x:c r="G91" s="12" t="str">
        <x:v>Implementation-ready</x:v>
      </x:c>
    </x:row>
    <x:row r="92">
      <x:c r="A92" s="12" t="str">
        <x:v>P26-REQ-091</x:v>
      </x:c>
      <x:c r="B92" s="12" t="str">
        <x:v>Snapshot Reproducibility</x:v>
      </x:c>
      <x:c r="C92" s="12" t="str">
        <x:v>Must</x:v>
      </x:c>
      <x:c r="D92" s="12" t="str">
        <x:v>GrounUp shall implement governed snapshot reproducibility execution capability 91 using versioned Phase 25 library data, explicit quantity/production assumptions, deterministic calculation lineage, tenant security and mapped acceptance evidence.</x:v>
      </x:c>
      <x:c r="E92" s="12" t="str">
        <x:v>Capability 91 passes when inputs, library snapshot/version, formulas/rules, units, output values, rounding, scenario behavior, overrides, audit lineage and mapped tests are reproducible.</x:v>
      </x:c>
      <x:c r="F92" s="12" t="str">
        <x:v>v1.0.0</x:v>
      </x:c>
      <x:c r="G92" s="12" t="str">
        <x:v>Implementation-ready</x:v>
      </x:c>
    </x:row>
    <x:row r="93">
      <x:c r="A93" s="12" t="str">
        <x:v>P26-REQ-092</x:v>
      </x:c>
      <x:c r="B93" s="12" t="str">
        <x:v>Service Catalog Writeback</x:v>
      </x:c>
      <x:c r="C93" s="12" t="str">
        <x:v>Must</x:v>
      </x:c>
      <x:c r="D93" s="12" t="str">
        <x:v>GrounUp shall implement governed service catalog writeback execution capability 92 using versioned Phase 25 library data, explicit quantity/production assumptions, deterministic calculation lineage, tenant security and mapped acceptance evidence.</x:v>
      </x:c>
      <x:c r="E93" s="12" t="str">
        <x:v>Capability 92 passes when inputs, library snapshot/version, formulas/rules, units, output values, rounding, scenario behavior, overrides, audit lineage and mapped tests are reproducible.</x:v>
      </x:c>
      <x:c r="F93" s="12" t="str">
        <x:v>v1.0.0</x:v>
      </x:c>
      <x:c r="G93" s="12" t="str">
        <x:v>Implementation-ready</x:v>
      </x:c>
    </x:row>
    <x:row r="94">
      <x:c r="A94" s="12" t="str">
        <x:v>P26-REQ-093</x:v>
      </x:c>
      <x:c r="B94" s="12" t="str">
        <x:v>AI Estimate Assist</x:v>
      </x:c>
      <x:c r="C94" s="12" t="str">
        <x:v>Must</x:v>
      </x:c>
      <x:c r="D94" s="12" t="str">
        <x:v>GrounUp shall implement governed ai estimate assist execution capability 93 using versioned Phase 25 library data, explicit quantity/production assumptions, deterministic calculation lineage, tenant security and mapped acceptance evidence.</x:v>
      </x:c>
      <x:c r="E94" s="12" t="str">
        <x:v>Capability 93 passes when inputs, library snapshot/version, formulas/rules, units, output values, rounding, scenario behavior, overrides, audit lineage and mapped tests are reproducible.</x:v>
      </x:c>
      <x:c r="F94" s="12" t="str">
        <x:v>v1.0.0</x:v>
      </x:c>
      <x:c r="G94" s="12" t="str">
        <x:v>Implementation-ready</x:v>
      </x:c>
    </x:row>
    <x:row r="95">
      <x:c r="A95" s="12" t="str">
        <x:v>P26-REQ-094</x:v>
      </x:c>
      <x:c r="B95" s="12" t="str">
        <x:v>Estimate Review &amp; Approval</x:v>
      </x:c>
      <x:c r="C95" s="12" t="str">
        <x:v>Must</x:v>
      </x:c>
      <x:c r="D95" s="12" t="str">
        <x:v>GrounUp shall implement governed estimate review &amp; approval execution capability 94 using versioned Phase 25 library data, explicit quantity/production assumptions, deterministic calculation lineage, tenant security and mapped acceptance evidence.</x:v>
      </x:c>
      <x:c r="E95" s="12" t="str">
        <x:v>Capability 94 passes when inputs, library snapshot/version, formulas/rules, units, output values, rounding, scenario behavior, overrides, audit lineage and mapped tests are reproducible.</x:v>
      </x:c>
      <x:c r="F95" s="12" t="str">
        <x:v>v1.0.0</x:v>
      </x:c>
      <x:c r="G95" s="12" t="str">
        <x:v>Implementation-ready</x:v>
      </x:c>
    </x:row>
    <x:row r="96">
      <x:c r="A96" s="12" t="str">
        <x:v>P26-REQ-095</x:v>
      </x:c>
      <x:c r="B96" s="12" t="str">
        <x:v>Estimate Export</x:v>
      </x:c>
      <x:c r="C96" s="12" t="str">
        <x:v>Must</x:v>
      </x:c>
      <x:c r="D96" s="12" t="str">
        <x:v>GrounUp shall implement governed estimate export execution capability 95 using versioned Phase 25 library data, explicit quantity/production assumptions, deterministic calculation lineage, tenant security and mapped acceptance evidence.</x:v>
      </x:c>
      <x:c r="E96" s="12" t="str">
        <x:v>Capability 95 passes when inputs, library snapshot/version, formulas/rules, units, output values, rounding, scenario behavior, overrides, audit lineage and mapped tests are reproducible.</x:v>
      </x:c>
      <x:c r="F96" s="12" t="str">
        <x:v>v1.0.0</x:v>
      </x:c>
      <x:c r="G96" s="12" t="str">
        <x:v>Implementation-ready</x:v>
      </x:c>
    </x:row>
    <x:row r="97">
      <x:c r="A97" s="12" t="str">
        <x:v>P26-REQ-096</x:v>
      </x:c>
      <x:c r="B97" s="12" t="str">
        <x:v>Proposal Handoff</x:v>
      </x:c>
      <x:c r="C97" s="12" t="str">
        <x:v>Must</x:v>
      </x:c>
      <x:c r="D97" s="12" t="str">
        <x:v>GrounUp shall implement governed proposal handoff execution capability 96 using versioned Phase 25 library data, explicit quantity/production assumptions, deterministic calculation lineage, tenant security and mapped acceptance evidence.</x:v>
      </x:c>
      <x:c r="E97" s="12" t="str">
        <x:v>Capability 96 passes when inputs, library snapshot/version, formulas/rules, units, output values, rounding, scenario behavior, overrides, audit lineage and mapped tests are reproducible.</x:v>
      </x:c>
      <x:c r="F97" s="12" t="str">
        <x:v>v1.0.0</x:v>
      </x:c>
      <x:c r="G97" s="12" t="str">
        <x:v>Implementation-ready</x:v>
      </x:c>
    </x:row>
    <x:row r="98">
      <x:c r="A98" s="12" t="str">
        <x:v>P26-REQ-097</x:v>
      </x:c>
      <x:c r="B98" s="12" t="str">
        <x:v>Job Cost Baseline</x:v>
      </x:c>
      <x:c r="C98" s="12" t="str">
        <x:v>Must</x:v>
      </x:c>
      <x:c r="D98" s="12" t="str">
        <x:v>GrounUp shall implement governed job cost baseline execution capability 97 using versioned Phase 25 library data, explicit quantity/production assumptions, deterministic calculation lineage, tenant security and mapped acceptance evidence.</x:v>
      </x:c>
      <x:c r="E98" s="12" t="str">
        <x:v>Capability 97 passes when inputs, library snapshot/version, formulas/rules, units, output values, rounding, scenario behavior, overrides, audit lineage and mapped tests are reproducible.</x:v>
      </x:c>
      <x:c r="F98" s="12" t="str">
        <x:v>v1.0.0</x:v>
      </x:c>
      <x:c r="G98" s="12" t="str">
        <x:v>Implementation-ready</x:v>
      </x:c>
    </x:row>
    <x:row r="99">
      <x:c r="A99" s="12" t="str">
        <x:v>P26-REQ-098</x:v>
      </x:c>
      <x:c r="B99" s="12" t="str">
        <x:v>Audit &amp; Traceability</x:v>
      </x:c>
      <x:c r="C99" s="12" t="str">
        <x:v>Must</x:v>
      </x:c>
      <x:c r="D99" s="12" t="str">
        <x:v>GrounUp shall implement governed audit &amp; traceability execution capability 98 using versioned Phase 25 library data, explicit quantity/production assumptions, deterministic calculation lineage, tenant security and mapped acceptance evidence.</x:v>
      </x:c>
      <x:c r="E99" s="12" t="str">
        <x:v>Capability 98 passes when inputs, library snapshot/version, formulas/rules, units, output values, rounding, scenario behavior, overrides, audit lineage and mapped tests are reproducible.</x:v>
      </x:c>
      <x:c r="F99" s="12" t="str">
        <x:v>v1.0.0</x:v>
      </x:c>
      <x:c r="G99" s="12" t="str">
        <x:v>Implementation-ready</x:v>
      </x:c>
    </x:row>
    <x:row r="100">
      <x:c r="A100" s="12" t="str">
        <x:v>P26-REQ-099</x:v>
      </x:c>
      <x:c r="B100" s="12" t="str">
        <x:v>Estimate Lifecycle</x:v>
      </x:c>
      <x:c r="C100" s="12" t="str">
        <x:v>Must</x:v>
      </x:c>
      <x:c r="D100" s="12" t="str">
        <x:v>GrounUp shall implement governed estimate lifecycle execution capability 99 using versioned Phase 25 library data, explicit quantity/production assumptions, deterministic calculation lineage, tenant security and mapped acceptance evidence.</x:v>
      </x:c>
      <x:c r="E100" s="12" t="str">
        <x:v>Capability 99 passes when inputs, library snapshot/version, formulas/rules, units, output values, rounding, scenario behavior, overrides, audit lineage and mapped tests are reproducible.</x:v>
      </x:c>
      <x:c r="F100" s="12" t="str">
        <x:v>v1.0.0</x:v>
      </x:c>
      <x:c r="G100" s="12" t="str">
        <x:v>Implementation-ready</x:v>
      </x:c>
    </x:row>
    <x:row r="101">
      <x:c r="A101" s="12" t="str">
        <x:v>P26-REQ-100</x:v>
      </x:c>
      <x:c r="B101" s="12" t="str">
        <x:v>Estimate Versions</x:v>
      </x:c>
      <x:c r="C101" s="12" t="str">
        <x:v>Must</x:v>
      </x:c>
      <x:c r="D101" s="12" t="str">
        <x:v>GrounUp shall implement governed estimate versions execution capability 100 using versioned Phase 25 library data, explicit quantity/production assumptions, deterministic calculation lineage, tenant security and mapped acceptance evidence.</x:v>
      </x:c>
      <x:c r="E101" s="12" t="str">
        <x:v>Capability 100 passes when inputs, library snapshot/version, formulas/rules, units, output values, rounding, scenario behavior, overrides, audit lineage and mapped tests are reproducible.</x:v>
      </x:c>
      <x:c r="F101" s="12" t="str">
        <x:v>v1.0.0</x:v>
      </x:c>
      <x:c r="G101" s="12" t="str">
        <x:v>Implementation-ready</x:v>
      </x:c>
    </x:row>
    <x:row r="102">
      <x:c r="A102" s="12" t="str">
        <x:v>P26-REQ-101</x:v>
      </x:c>
      <x:c r="B102" s="12" t="str">
        <x:v>Estimate Templates</x:v>
      </x:c>
      <x:c r="C102" s="12" t="str">
        <x:v>Must</x:v>
      </x:c>
      <x:c r="D102" s="12" t="str">
        <x:v>GrounUp shall implement governed estimate templates execution capability 101 using versioned Phase 25 library data, explicit quantity/production assumptions, deterministic calculation lineage, tenant security and mapped acceptance evidence.</x:v>
      </x:c>
      <x:c r="E102" s="12" t="str">
        <x:v>Capability 101 passes when inputs, library snapshot/version, formulas/rules, units, output values, rounding, scenario behavior, overrides, audit lineage and mapped tests are reproducible.</x:v>
      </x:c>
      <x:c r="F102" s="12" t="str">
        <x:v>v1.0.0</x:v>
      </x:c>
      <x:c r="G102" s="12" t="str">
        <x:v>Implementation-ready</x:v>
      </x:c>
    </x:row>
    <x:row r="103">
      <x:c r="A103" s="12" t="str">
        <x:v>P26-REQ-102</x:v>
      </x:c>
      <x:c r="B103" s="12" t="str">
        <x:v>Service Selection</x:v>
      </x:c>
      <x:c r="C103" s="12" t="str">
        <x:v>Must</x:v>
      </x:c>
      <x:c r="D103" s="12" t="str">
        <x:v>GrounUp shall implement governed service selection execution capability 102 using versioned Phase 25 library data, explicit quantity/production assumptions, deterministic calculation lineage, tenant security and mapped acceptance evidence.</x:v>
      </x:c>
      <x:c r="E103" s="12" t="str">
        <x:v>Capability 102 passes when inputs, library snapshot/version, formulas/rules, units, output values, rounding, scenario behavior, overrides, audit lineage and mapped tests are reproducible.</x:v>
      </x:c>
      <x:c r="F103" s="12" t="str">
        <x:v>v1.0.0</x:v>
      </x:c>
      <x:c r="G103" s="12" t="str">
        <x:v>Implementation-ready</x:v>
      </x:c>
    </x:row>
    <x:row r="104">
      <x:c r="A104" s="12" t="str">
        <x:v>P26-REQ-103</x:v>
      </x:c>
      <x:c r="B104" s="12" t="str">
        <x:v>Assembly Expansion</x:v>
      </x:c>
      <x:c r="C104" s="12" t="str">
        <x:v>Must</x:v>
      </x:c>
      <x:c r="D104" s="12" t="str">
        <x:v>GrounUp shall implement governed assembly expansion execution capability 103 using versioned Phase 25 library data, explicit quantity/production assumptions, deterministic calculation lineage, tenant security and mapped acceptance evidence.</x:v>
      </x:c>
      <x:c r="E104" s="12" t="str">
        <x:v>Capability 103 passes when inputs, library snapshot/version, formulas/rules, units, output values, rounding, scenario behavior, overrides, audit lineage and mapped tests are reproducible.</x:v>
      </x:c>
      <x:c r="F104" s="12" t="str">
        <x:v>v1.0.0</x:v>
      </x:c>
      <x:c r="G104" s="12" t="str">
        <x:v>Implementation-ready</x:v>
      </x:c>
    </x:row>
    <x:row r="105">
      <x:c r="A105" s="12" t="str">
        <x:v>P26-REQ-104</x:v>
      </x:c>
      <x:c r="B105" s="12" t="str">
        <x:v>Quantity Input</x:v>
      </x:c>
      <x:c r="C105" s="12" t="str">
        <x:v>Must</x:v>
      </x:c>
      <x:c r="D105" s="12" t="str">
        <x:v>GrounUp shall implement governed quantity input execution capability 104 using versioned Phase 25 library data, explicit quantity/production assumptions, deterministic calculation lineage, tenant security and mapped acceptance evidence.</x:v>
      </x:c>
      <x:c r="E105" s="12" t="str">
        <x:v>Capability 104 passes when inputs, library snapshot/version, formulas/rules, units, output values, rounding, scenario behavior, overrides, audit lineage and mapped tests are reproducible.</x:v>
      </x:c>
      <x:c r="F105" s="12" t="str">
        <x:v>v1.0.0</x:v>
      </x:c>
      <x:c r="G105" s="12" t="str">
        <x:v>Implementation-ready</x:v>
      </x:c>
    </x:row>
    <x:row r="106">
      <x:c r="A106" s="12" t="str">
        <x:v>P26-REQ-105</x:v>
      </x:c>
      <x:c r="B106" s="12" t="str">
        <x:v>Quantity Takeoff Intake</x:v>
      </x:c>
      <x:c r="C106" s="12" t="str">
        <x:v>Must</x:v>
      </x:c>
      <x:c r="D106" s="12" t="str">
        <x:v>GrounUp shall implement governed quantity takeoff intake execution capability 105 using versioned Phase 25 library data, explicit quantity/production assumptions, deterministic calculation lineage, tenant security and mapped acceptance evidence.</x:v>
      </x:c>
      <x:c r="E106" s="12" t="str">
        <x:v>Capability 105 passes when inputs, library snapshot/version, formulas/rules, units, output values, rounding, scenario behavior, overrides, audit lineage and mapped tests are reproducible.</x:v>
      </x:c>
      <x:c r="F106" s="12" t="str">
        <x:v>v1.0.0</x:v>
      </x:c>
      <x:c r="G106" s="12" t="str">
        <x:v>Implementation-ready</x:v>
      </x:c>
    </x:row>
    <x:row r="107">
      <x:c r="A107" s="12" t="str">
        <x:v>P26-REQ-106</x:v>
      </x:c>
      <x:c r="B107" s="12" t="str">
        <x:v>Labor Cost</x:v>
      </x:c>
      <x:c r="C107" s="12" t="str">
        <x:v>Must</x:v>
      </x:c>
      <x:c r="D107" s="12" t="str">
        <x:v>GrounUp shall implement governed labor cost execution capability 106 using versioned Phase 25 library data, explicit quantity/production assumptions, deterministic calculation lineage, tenant security and mapped acceptance evidence.</x:v>
      </x:c>
      <x:c r="E107" s="12" t="str">
        <x:v>Capability 106 passes when inputs, library snapshot/version, formulas/rules, units, output values, rounding, scenario behavior, overrides, audit lineage and mapped tests are reproducible.</x:v>
      </x:c>
      <x:c r="F107" s="12" t="str">
        <x:v>v1.0.0</x:v>
      </x:c>
      <x:c r="G107" s="12" t="str">
        <x:v>Implementation-ready</x:v>
      </x:c>
    </x:row>
    <x:row r="108">
      <x:c r="A108" s="12" t="str">
        <x:v>P26-REQ-107</x:v>
      </x:c>
      <x:c r="B108" s="12" t="str">
        <x:v>Labor Burden</x:v>
      </x:c>
      <x:c r="C108" s="12" t="str">
        <x:v>Must</x:v>
      </x:c>
      <x:c r="D108" s="12" t="str">
        <x:v>GrounUp shall implement governed labor burden execution capability 107 using versioned Phase 25 library data, explicit quantity/production assumptions, deterministic calculation lineage, tenant security and mapped acceptance evidence.</x:v>
      </x:c>
      <x:c r="E108" s="12" t="str">
        <x:v>Capability 107 passes when inputs, library snapshot/version, formulas/rules, units, output values, rounding, scenario behavior, overrides, audit lineage and mapped tests are reproducible.</x:v>
      </x:c>
      <x:c r="F108" s="12" t="str">
        <x:v>v1.0.0</x:v>
      </x:c>
      <x:c r="G108" s="12" t="str">
        <x:v>Implementation-ready</x:v>
      </x:c>
    </x:row>
    <x:row r="109">
      <x:c r="A109" s="12" t="str">
        <x:v>P26-REQ-108</x:v>
      </x:c>
      <x:c r="B109" s="12" t="str">
        <x:v>Crew Composition</x:v>
      </x:c>
      <x:c r="C109" s="12" t="str">
        <x:v>Must</x:v>
      </x:c>
      <x:c r="D109" s="12" t="str">
        <x:v>GrounUp shall implement governed crew composition execution capability 108 using versioned Phase 25 library data, explicit quantity/production assumptions, deterministic calculation lineage, tenant security and mapped acceptance evidence.</x:v>
      </x:c>
      <x:c r="E109" s="12" t="str">
        <x:v>Capability 108 passes when inputs, library snapshot/version, formulas/rules, units, output values, rounding, scenario behavior, overrides, audit lineage and mapped tests are reproducible.</x:v>
      </x:c>
      <x:c r="F109" s="12" t="str">
        <x:v>v1.0.0</x:v>
      </x:c>
      <x:c r="G109" s="12" t="str">
        <x:v>Implementation-ready</x:v>
      </x:c>
    </x:row>
    <x:row r="110">
      <x:c r="A110" s="12" t="str">
        <x:v>P26-REQ-109</x:v>
      </x:c>
      <x:c r="B110" s="12" t="str">
        <x:v>Crew Size Recommendation</x:v>
      </x:c>
      <x:c r="C110" s="12" t="str">
        <x:v>Must</x:v>
      </x:c>
      <x:c r="D110" s="12" t="str">
        <x:v>GrounUp shall implement governed crew size recommendation execution capability 109 using versioned Phase 25 library data, explicit quantity/production assumptions, deterministic calculation lineage, tenant security and mapped acceptance evidence.</x:v>
      </x:c>
      <x:c r="E110" s="12" t="str">
        <x:v>Capability 109 passes when inputs, library snapshot/version, formulas/rules, units, output values, rounding, scenario behavior, overrides, audit lineage and mapped tests are reproducible.</x:v>
      </x:c>
      <x:c r="F110" s="12" t="str">
        <x:v>v1.0.0</x:v>
      </x:c>
      <x:c r="G110" s="12" t="str">
        <x:v>Implementation-ready</x:v>
      </x:c>
    </x:row>
    <x:row r="111">
      <x:c r="A111" s="12" t="str">
        <x:v>P26-REQ-110</x:v>
      </x:c>
      <x:c r="B111" s="12" t="str">
        <x:v>Equipment Selection</x:v>
      </x:c>
      <x:c r="C111" s="12" t="str">
        <x:v>Must</x:v>
      </x:c>
      <x:c r="D111" s="12" t="str">
        <x:v>GrounUp shall implement governed equipment selection execution capability 110 using versioned Phase 25 library data, explicit quantity/production assumptions, deterministic calculation lineage, tenant security and mapped acceptance evidence.</x:v>
      </x:c>
      <x:c r="E111" s="12" t="str">
        <x:v>Capability 110 passes when inputs, library snapshot/version, formulas/rules, units, output values, rounding, scenario behavior, overrides, audit lineage and mapped tests are reproducible.</x:v>
      </x:c>
      <x:c r="F111" s="12" t="str">
        <x:v>v1.0.0</x:v>
      </x:c>
      <x:c r="G111" s="12" t="str">
        <x:v>Implementation-ready</x:v>
      </x:c>
    </x:row>
    <x:row r="112">
      <x:c r="A112" s="12" t="str">
        <x:v>P26-REQ-111</x:v>
      </x:c>
      <x:c r="B112" s="12" t="str">
        <x:v>Equipment Cost</x:v>
      </x:c>
      <x:c r="C112" s="12" t="str">
        <x:v>Must</x:v>
      </x:c>
      <x:c r="D112" s="12" t="str">
        <x:v>GrounUp shall implement governed equipment cost execution capability 111 using versioned Phase 25 library data, explicit quantity/production assumptions, deterministic calculation lineage, tenant security and mapped acceptance evidence.</x:v>
      </x:c>
      <x:c r="E112" s="12" t="str">
        <x:v>Capability 111 passes when inputs, library snapshot/version, formulas/rules, units, output values, rounding, scenario behavior, overrides, audit lineage and mapped tests are reproducible.</x:v>
      </x:c>
      <x:c r="F112" s="12" t="str">
        <x:v>v1.0.0</x:v>
      </x:c>
      <x:c r="G112" s="12" t="str">
        <x:v>Implementation-ready</x:v>
      </x:c>
    </x:row>
    <x:row r="113">
      <x:c r="A113" s="12" t="str">
        <x:v>P26-REQ-112</x:v>
      </x:c>
      <x:c r="B113" s="12" t="str">
        <x:v>Equipment Rate Selection</x:v>
      </x:c>
      <x:c r="C113" s="12" t="str">
        <x:v>Must</x:v>
      </x:c>
      <x:c r="D113" s="12" t="str">
        <x:v>GrounUp shall implement governed equipment rate selection execution capability 112 using versioned Phase 25 library data, explicit quantity/production assumptions, deterministic calculation lineage, tenant security and mapped acceptance evidence.</x:v>
      </x:c>
      <x:c r="E113" s="12" t="str">
        <x:v>Capability 112 passes when inputs, library snapshot/version, formulas/rules, units, output values, rounding, scenario behavior, overrides, audit lineage and mapped tests are reproducible.</x:v>
      </x:c>
      <x:c r="F113" s="12" t="str">
        <x:v>v1.0.0</x:v>
      </x:c>
      <x:c r="G113" s="12" t="str">
        <x:v>Implementation-ready</x:v>
      </x:c>
    </x:row>
    <x:row r="114">
      <x:c r="A114" s="12" t="str">
        <x:v>P26-REQ-113</x:v>
      </x:c>
      <x:c r="B114" s="12" t="str">
        <x:v>Fuel Consumption</x:v>
      </x:c>
      <x:c r="C114" s="12" t="str">
        <x:v>Must</x:v>
      </x:c>
      <x:c r="D114" s="12" t="str">
        <x:v>GrounUp shall implement governed fuel consumption execution capability 113 using versioned Phase 25 library data, explicit quantity/production assumptions, deterministic calculation lineage, tenant security and mapped acceptance evidence.</x:v>
      </x:c>
      <x:c r="E114" s="12" t="str">
        <x:v>Capability 113 passes when inputs, library snapshot/version, formulas/rules, units, output values, rounding, scenario behavior, overrides, audit lineage and mapped tests are reproducible.</x:v>
      </x:c>
      <x:c r="F114" s="12" t="str">
        <x:v>v1.0.0</x:v>
      </x:c>
      <x:c r="G114" s="12" t="str">
        <x:v>Implementation-ready</x:v>
      </x:c>
    </x:row>
    <x:row r="115">
      <x:c r="A115" s="12" t="str">
        <x:v>P26-REQ-114</x:v>
      </x:c>
      <x:c r="B115" s="12" t="str">
        <x:v>Truck Selection</x:v>
      </x:c>
      <x:c r="C115" s="12" t="str">
        <x:v>Must</x:v>
      </x:c>
      <x:c r="D115" s="12" t="str">
        <x:v>GrounUp shall implement governed truck selection execution capability 114 using versioned Phase 25 library data, explicit quantity/production assumptions, deterministic calculation lineage, tenant security and mapped acceptance evidence.</x:v>
      </x:c>
      <x:c r="E115" s="12" t="str">
        <x:v>Capability 114 passes when inputs, library snapshot/version, formulas/rules, units, output values, rounding, scenario behavior, overrides, audit lineage and mapped tests are reproducible.</x:v>
      </x:c>
      <x:c r="F115" s="12" t="str">
        <x:v>v1.0.0</x:v>
      </x:c>
      <x:c r="G115" s="12" t="str">
        <x:v>Implementation-ready</x:v>
      </x:c>
    </x:row>
    <x:row r="116">
      <x:c r="A116" s="12" t="str">
        <x:v>P26-REQ-115</x:v>
      </x:c>
      <x:c r="B116" s="12" t="str">
        <x:v>Truck Cycle Calculation</x:v>
      </x:c>
      <x:c r="C116" s="12" t="str">
        <x:v>Must</x:v>
      </x:c>
      <x:c r="D116" s="12" t="str">
        <x:v>GrounUp shall implement governed truck cycle calculation execution capability 115 using versioned Phase 25 library data, explicit quantity/production assumptions, deterministic calculation lineage, tenant security and mapped acceptance evidence.</x:v>
      </x:c>
      <x:c r="E116" s="12" t="str">
        <x:v>Capability 115 passes when inputs, library snapshot/version, formulas/rules, units, output values, rounding, scenario behavior, overrides, audit lineage and mapped tests are reproducible.</x:v>
      </x:c>
      <x:c r="F116" s="12" t="str">
        <x:v>v1.0.0</x:v>
      </x:c>
      <x:c r="G116" s="12" t="str">
        <x:v>Implementation-ready</x:v>
      </x:c>
    </x:row>
    <x:row r="117">
      <x:c r="A117" s="12" t="str">
        <x:v>P26-REQ-116</x:v>
      </x:c>
      <x:c r="B117" s="12" t="str">
        <x:v>Truck Count</x:v>
      </x:c>
      <x:c r="C117" s="12" t="str">
        <x:v>Must</x:v>
      </x:c>
      <x:c r="D117" s="12" t="str">
        <x:v>GrounUp shall implement governed truck count execution capability 116 using versioned Phase 25 library data, explicit quantity/production assumptions, deterministic calculation lineage, tenant security and mapped acceptance evidence.</x:v>
      </x:c>
      <x:c r="E117" s="12" t="str">
        <x:v>Capability 116 passes when inputs, library snapshot/version, formulas/rules, units, output values, rounding, scenario behavior, overrides, audit lineage and mapped tests are reproducible.</x:v>
      </x:c>
      <x:c r="F117" s="12" t="str">
        <x:v>v1.0.0</x:v>
      </x:c>
      <x:c r="G117" s="12" t="str">
        <x:v>Implementation-ready</x:v>
      </x:c>
    </x:row>
    <x:row r="118">
      <x:c r="A118" s="12" t="str">
        <x:v>P26-REQ-117</x:v>
      </x:c>
      <x:c r="B118" s="12" t="str">
        <x:v>Haul Distance</x:v>
      </x:c>
      <x:c r="C118" s="12" t="str">
        <x:v>Must</x:v>
      </x:c>
      <x:c r="D118" s="12" t="str">
        <x:v>GrounUp shall implement governed haul distance execution capability 117 using versioned Phase 25 library data, explicit quantity/production assumptions, deterministic calculation lineage, tenant security and mapped acceptance evidence.</x:v>
      </x:c>
      <x:c r="E118" s="12" t="str">
        <x:v>Capability 117 passes when inputs, library snapshot/version, formulas/rules, units, output values, rounding, scenario behavior, overrides, audit lineage and mapped tests are reproducible.</x:v>
      </x:c>
      <x:c r="F118" s="12" t="str">
        <x:v>v1.0.0</x:v>
      </x:c>
      <x:c r="G118" s="12" t="str">
        <x:v>Implementation-ready</x:v>
      </x:c>
    </x:row>
    <x:row r="119">
      <x:c r="A119" s="12" t="str">
        <x:v>P26-REQ-118</x:v>
      </x:c>
      <x:c r="B119" s="12" t="str">
        <x:v>Disposal Cost</x:v>
      </x:c>
      <x:c r="C119" s="12" t="str">
        <x:v>Must</x:v>
      </x:c>
      <x:c r="D119" s="12" t="str">
        <x:v>GrounUp shall implement governed disposal cost execution capability 118 using versioned Phase 25 library data, explicit quantity/production assumptions, deterministic calculation lineage, tenant security and mapped acceptance evidence.</x:v>
      </x:c>
      <x:c r="E119" s="12" t="str">
        <x:v>Capability 118 passes when inputs, library snapshot/version, formulas/rules, units, output values, rounding, scenario behavior, overrides, audit lineage and mapped tests are reproducible.</x:v>
      </x:c>
      <x:c r="F119" s="12" t="str">
        <x:v>v1.0.0</x:v>
      </x:c>
      <x:c r="G119" s="12" t="str">
        <x:v>Implementation-ready</x:v>
      </x:c>
    </x:row>
    <x:row r="120">
      <x:c r="A120" s="12" t="str">
        <x:v>P26-REQ-119</x:v>
      </x:c>
      <x:c r="B120" s="12" t="str">
        <x:v>Material Cost</x:v>
      </x:c>
      <x:c r="C120" s="12" t="str">
        <x:v>Must</x:v>
      </x:c>
      <x:c r="D120" s="12" t="str">
        <x:v>GrounUp shall implement governed material cost execution capability 119 using versioned Phase 25 library data, explicit quantity/production assumptions, deterministic calculation lineage, tenant security and mapped acceptance evidence.</x:v>
      </x:c>
      <x:c r="E120" s="12" t="str">
        <x:v>Capability 119 passes when inputs, library snapshot/version, formulas/rules, units, output values, rounding, scenario behavior, overrides, audit lineage and mapped tests are reproducible.</x:v>
      </x:c>
      <x:c r="F120" s="12" t="str">
        <x:v>v1.0.0</x:v>
      </x:c>
      <x:c r="G120" s="12" t="str">
        <x:v>Implementation-ready</x:v>
      </x:c>
    </x:row>
    <x:row r="121">
      <x:c r="A121" s="12" t="str">
        <x:v>P26-REQ-120</x:v>
      </x:c>
      <x:c r="B121" s="12" t="str">
        <x:v>Material Waste</x:v>
      </x:c>
      <x:c r="C121" s="12" t="str">
        <x:v>Must</x:v>
      </x:c>
      <x:c r="D121" s="12" t="str">
        <x:v>GrounUp shall implement governed material waste execution capability 120 using versioned Phase 25 library data, explicit quantity/production assumptions, deterministic calculation lineage, tenant security and mapped acceptance evidence.</x:v>
      </x:c>
      <x:c r="E121" s="12" t="str">
        <x:v>Capability 120 passes when inputs, library snapshot/version, formulas/rules, units, output values, rounding, scenario behavior, overrides, audit lineage and mapped tests are reproducible.</x:v>
      </x:c>
      <x:c r="F121" s="12" t="str">
        <x:v>v1.0.0</x:v>
      </x:c>
      <x:c r="G121" s="12" t="str">
        <x:v>Implementation-ready</x:v>
      </x:c>
    </x:row>
    <x:row r="122">
      <x:c r="A122" s="12" t="str">
        <x:v>P26-REQ-121</x:v>
      </x:c>
      <x:c r="B122" s="12" t="str">
        <x:v>Subcontract Cost</x:v>
      </x:c>
      <x:c r="C122" s="12" t="str">
        <x:v>Must</x:v>
      </x:c>
      <x:c r="D122" s="12" t="str">
        <x:v>GrounUp shall implement governed subcontract cost execution capability 121 using versioned Phase 25 library data, explicit quantity/production assumptions, deterministic calculation lineage, tenant security and mapped acceptance evidence.</x:v>
      </x:c>
      <x:c r="E122" s="12" t="str">
        <x:v>Capability 121 passes when inputs, library snapshot/version, formulas/rules, units, output values, rounding, scenario behavior, overrides, audit lineage and mapped tests are reproducible.</x:v>
      </x:c>
      <x:c r="F122" s="12" t="str">
        <x:v>v1.0.0</x:v>
      </x:c>
      <x:c r="G122" s="12" t="str">
        <x:v>Implementation-ready</x:v>
      </x:c>
    </x:row>
    <x:row r="123">
      <x:c r="A123" s="12" t="str">
        <x:v>P26-REQ-122</x:v>
      </x:c>
      <x:c r="B123" s="12" t="str">
        <x:v>Production Rate</x:v>
      </x:c>
      <x:c r="C123" s="12" t="str">
        <x:v>Must</x:v>
      </x:c>
      <x:c r="D123" s="12" t="str">
        <x:v>GrounUp shall implement governed production rate execution capability 122 using versioned Phase 25 library data, explicit quantity/production assumptions, deterministic calculation lineage, tenant security and mapped acceptance evidence.</x:v>
      </x:c>
      <x:c r="E123" s="12" t="str">
        <x:v>Capability 122 passes when inputs, library snapshot/version, formulas/rules, units, output values, rounding, scenario behavior, overrides, audit lineage and mapped tests are reproducible.</x:v>
      </x:c>
      <x:c r="F123" s="12" t="str">
        <x:v>v1.0.0</x:v>
      </x:c>
      <x:c r="G123" s="12" t="str">
        <x:v>Implementation-ready</x:v>
      </x:c>
    </x:row>
    <x:row r="124">
      <x:c r="A124" s="12" t="str">
        <x:v>P26-REQ-123</x:v>
      </x:c>
      <x:c r="B124" s="12" t="str">
        <x:v>Production Modifiers</x:v>
      </x:c>
      <x:c r="C124" s="12" t="str">
        <x:v>Must</x:v>
      </x:c>
      <x:c r="D124" s="12" t="str">
        <x:v>GrounUp shall implement governed production modifiers execution capability 123 using versioned Phase 25 library data, explicit quantity/production assumptions, deterministic calculation lineage, tenant security and mapped acceptance evidence.</x:v>
      </x:c>
      <x:c r="E124" s="12" t="str">
        <x:v>Capability 123 passes when inputs, library snapshot/version, formulas/rules, units, output values, rounding, scenario behavior, overrides, audit lineage and mapped tests are reproducible.</x:v>
      </x:c>
      <x:c r="F124" s="12" t="str">
        <x:v>v1.0.0</x:v>
      </x:c>
      <x:c r="G124" s="12" t="str">
        <x:v>Implementation-ready</x:v>
      </x:c>
    </x:row>
    <x:row r="125">
      <x:c r="A125" s="12" t="str">
        <x:v>P26-REQ-124</x:v>
      </x:c>
      <x:c r="B125" s="12" t="str">
        <x:v>Duration Calculation</x:v>
      </x:c>
      <x:c r="C125" s="12" t="str">
        <x:v>Must</x:v>
      </x:c>
      <x:c r="D125" s="12" t="str">
        <x:v>GrounUp shall implement governed duration calculation execution capability 124 using versioned Phase 25 library data, explicit quantity/production assumptions, deterministic calculation lineage, tenant security and mapped acceptance evidence.</x:v>
      </x:c>
      <x:c r="E125" s="12" t="str">
        <x:v>Capability 124 passes when inputs, library snapshot/version, formulas/rules, units, output values, rounding, scenario behavior, overrides, audit lineage and mapped tests are reproducible.</x:v>
      </x:c>
      <x:c r="F125" s="12" t="str">
        <x:v>v1.0.0</x:v>
      </x:c>
      <x:c r="G125" s="12" t="str">
        <x:v>Implementation-ready</x:v>
      </x:c>
    </x:row>
    <x:row r="126">
      <x:c r="A126" s="12" t="str">
        <x:v>P26-REQ-125</x:v>
      </x:c>
      <x:c r="B126" s="12" t="str">
        <x:v>Work Hours &amp; Shifts</x:v>
      </x:c>
      <x:c r="C126" s="12" t="str">
        <x:v>Must</x:v>
      </x:c>
      <x:c r="D126" s="12" t="str">
        <x:v>GrounUp shall implement governed work hours &amp; shifts execution capability 125 using versioned Phase 25 library data, explicit quantity/production assumptions, deterministic calculation lineage, tenant security and mapped acceptance evidence.</x:v>
      </x:c>
      <x:c r="E126" s="12" t="str">
        <x:v>Capability 125 passes when inputs, library snapshot/version, formulas/rules, units, output values, rounding, scenario behavior, overrides, audit lineage and mapped tests are reproducible.</x:v>
      </x:c>
      <x:c r="F126" s="12" t="str">
        <x:v>v1.0.0</x:v>
      </x:c>
      <x:c r="G126" s="12" t="str">
        <x:v>Implementation-ready</x:v>
      </x:c>
    </x:row>
    <x:row r="127">
      <x:c r="A127" s="12" t="str">
        <x:v>P26-REQ-126</x:v>
      </x:c>
      <x:c r="B127" s="12" t="str">
        <x:v>Mobilization</x:v>
      </x:c>
      <x:c r="C127" s="12" t="str">
        <x:v>Must</x:v>
      </x:c>
      <x:c r="D127" s="12" t="str">
        <x:v>GrounUp shall implement governed mobilization execution capability 126 using versioned Phase 25 library data, explicit quantity/production assumptions, deterministic calculation lineage, tenant security and mapped acceptance evidence.</x:v>
      </x:c>
      <x:c r="E127" s="12" t="str">
        <x:v>Capability 126 passes when inputs, library snapshot/version, formulas/rules, units, output values, rounding, scenario behavior, overrides, audit lineage and mapped tests are reproducible.</x:v>
      </x:c>
      <x:c r="F127" s="12" t="str">
        <x:v>v1.0.0</x:v>
      </x:c>
      <x:c r="G127" s="12" t="str">
        <x:v>Implementation-ready</x:v>
      </x:c>
    </x:row>
    <x:row r="128">
      <x:c r="A128" s="12" t="str">
        <x:v>P26-REQ-127</x:v>
      </x:c>
      <x:c r="B128" s="12" t="str">
        <x:v>Demobilization</x:v>
      </x:c>
      <x:c r="C128" s="12" t="str">
        <x:v>Must</x:v>
      </x:c>
      <x:c r="D128" s="12" t="str">
        <x:v>GrounUp shall implement governed demobilization execution capability 127 using versioned Phase 25 library data, explicit quantity/production assumptions, deterministic calculation lineage, tenant security and mapped acceptance evidence.</x:v>
      </x:c>
      <x:c r="E128" s="12" t="str">
        <x:v>Capability 127 passes when inputs, library snapshot/version, formulas/rules, units, output values, rounding, scenario behavior, overrides, audit lineage and mapped tests are reproducible.</x:v>
      </x:c>
      <x:c r="F128" s="12" t="str">
        <x:v>v1.0.0</x:v>
      </x:c>
      <x:c r="G128" s="12" t="str">
        <x:v>Implementation-ready</x:v>
      </x:c>
    </x:row>
    <x:row r="129">
      <x:c r="A129" s="12" t="str">
        <x:v>P26-REQ-128</x:v>
      </x:c>
      <x:c r="B129" s="12" t="str">
        <x:v>Indirect Costs</x:v>
      </x:c>
      <x:c r="C129" s="12" t="str">
        <x:v>Must</x:v>
      </x:c>
      <x:c r="D129" s="12" t="str">
        <x:v>GrounUp shall implement governed indirect costs execution capability 128 using versioned Phase 25 library data, explicit quantity/production assumptions, deterministic calculation lineage, tenant security and mapped acceptance evidence.</x:v>
      </x:c>
      <x:c r="E129" s="12" t="str">
        <x:v>Capability 128 passes when inputs, library snapshot/version, formulas/rules, units, output values, rounding, scenario behavior, overrides, audit lineage and mapped tests are reproducible.</x:v>
      </x:c>
      <x:c r="F129" s="12" t="str">
        <x:v>v1.0.0</x:v>
      </x:c>
      <x:c r="G129" s="12" t="str">
        <x:v>Implementation-ready</x:v>
      </x:c>
    </x:row>
    <x:row r="130">
      <x:c r="A130" s="12" t="str">
        <x:v>P26-REQ-129</x:v>
      </x:c>
      <x:c r="B130" s="12" t="str">
        <x:v>Contingency</x:v>
      </x:c>
      <x:c r="C130" s="12" t="str">
        <x:v>Must</x:v>
      </x:c>
      <x:c r="D130" s="12" t="str">
        <x:v>GrounUp shall implement governed contingency execution capability 129 using versioned Phase 25 library data, explicit quantity/production assumptions, deterministic calculation lineage, tenant security and mapped acceptance evidence.</x:v>
      </x:c>
      <x:c r="E130" s="12" t="str">
        <x:v>Capability 129 passes when inputs, library snapshot/version, formulas/rules, units, output values, rounding, scenario behavior, overrides, audit lineage and mapped tests are reproducible.</x:v>
      </x:c>
      <x:c r="F130" s="12" t="str">
        <x:v>v1.0.0</x:v>
      </x:c>
      <x:c r="G130" s="12" t="str">
        <x:v>Implementation-ready</x:v>
      </x:c>
    </x:row>
    <x:row r="131">
      <x:c r="A131" s="12" t="str">
        <x:v>P26-REQ-130</x:v>
      </x:c>
      <x:c r="B131" s="12" t="str">
        <x:v>Markup</x:v>
      </x:c>
      <x:c r="C131" s="12" t="str">
        <x:v>Must</x:v>
      </x:c>
      <x:c r="D131" s="12" t="str">
        <x:v>GrounUp shall implement governed markup execution capability 130 using versioned Phase 25 library data, explicit quantity/production assumptions, deterministic calculation lineage, tenant security and mapped acceptance evidence.</x:v>
      </x:c>
      <x:c r="E131" s="12" t="str">
        <x:v>Capability 130 passes when inputs, library snapshot/version, formulas/rules, units, output values, rounding, scenario behavior, overrides, audit lineage and mapped tests are reproducible.</x:v>
      </x:c>
      <x:c r="F131" s="12" t="str">
        <x:v>v1.0.0</x:v>
      </x:c>
      <x:c r="G131" s="12" t="str">
        <x:v>Implementation-ready</x:v>
      </x:c>
    </x:row>
    <x:row r="132">
      <x:c r="A132" s="12" t="str">
        <x:v>P26-REQ-131</x:v>
      </x:c>
      <x:c r="B132" s="12" t="str">
        <x:v>Overhead &amp; Profit</x:v>
      </x:c>
      <x:c r="C132" s="12" t="str">
        <x:v>Must</x:v>
      </x:c>
      <x:c r="D132" s="12" t="str">
        <x:v>GrounUp shall implement governed overhead &amp; profit execution capability 131 using versioned Phase 25 library data, explicit quantity/production assumptions, deterministic calculation lineage, tenant security and mapped acceptance evidence.</x:v>
      </x:c>
      <x:c r="E132" s="12" t="str">
        <x:v>Capability 131 passes when inputs, library snapshot/version, formulas/rules, units, output values, rounding, scenario behavior, overrides, audit lineage and mapped tests are reproducible.</x:v>
      </x:c>
      <x:c r="F132" s="12" t="str">
        <x:v>v1.0.0</x:v>
      </x:c>
      <x:c r="G132" s="12" t="str">
        <x:v>Implementation-ready</x:v>
      </x:c>
    </x:row>
    <x:row r="133">
      <x:c r="A133" s="12" t="str">
        <x:v>P26-REQ-132</x:v>
      </x:c>
      <x:c r="B133" s="12" t="str">
        <x:v>Tax &amp; Bond</x:v>
      </x:c>
      <x:c r="C133" s="12" t="str">
        <x:v>Must</x:v>
      </x:c>
      <x:c r="D133" s="12" t="str">
        <x:v>GrounUp shall implement governed tax &amp; bond execution capability 132 using versioned Phase 25 library data, explicit quantity/production assumptions, deterministic calculation lineage, tenant security and mapped acceptance evidence.</x:v>
      </x:c>
      <x:c r="E133" s="12" t="str">
        <x:v>Capability 132 passes when inputs, library snapshot/version, formulas/rules, units, output values, rounding, scenario behavior, overrides, audit lineage and mapped tests are reproducible.</x:v>
      </x:c>
      <x:c r="F133" s="12" t="str">
        <x:v>v1.0.0</x:v>
      </x:c>
      <x:c r="G133" s="12" t="str">
        <x:v>Implementation-ready</x:v>
      </x:c>
    </x:row>
    <x:row r="134">
      <x:c r="A134" s="12" t="str">
        <x:v>P26-REQ-133</x:v>
      </x:c>
      <x:c r="B134" s="12" t="str">
        <x:v>Unit Price</x:v>
      </x:c>
      <x:c r="C134" s="12" t="str">
        <x:v>Must</x:v>
      </x:c>
      <x:c r="D134" s="12" t="str">
        <x:v>GrounUp shall implement governed unit price execution capability 133 using versioned Phase 25 library data, explicit quantity/production assumptions, deterministic calculation lineage, tenant security and mapped acceptance evidence.</x:v>
      </x:c>
      <x:c r="E134" s="12" t="str">
        <x:v>Capability 133 passes when inputs, library snapshot/version, formulas/rules, units, output values, rounding, scenario behavior, overrides, audit lineage and mapped tests are reproducible.</x:v>
      </x:c>
      <x:c r="F134" s="12" t="str">
        <x:v>v1.0.0</x:v>
      </x:c>
      <x:c r="G134" s="12" t="str">
        <x:v>Implementation-ready</x:v>
      </x:c>
    </x:row>
    <x:row r="135">
      <x:c r="A135" s="12" t="str">
        <x:v>P26-REQ-134</x:v>
      </x:c>
      <x:c r="B135" s="12" t="str">
        <x:v>Bid Price</x:v>
      </x:c>
      <x:c r="C135" s="12" t="str">
        <x:v>Must</x:v>
      </x:c>
      <x:c r="D135" s="12" t="str">
        <x:v>GrounUp shall implement governed bid price execution capability 134 using versioned Phase 25 library data, explicit quantity/production assumptions, deterministic calculation lineage, tenant security and mapped acceptance evidence.</x:v>
      </x:c>
      <x:c r="E135" s="12" t="str">
        <x:v>Capability 134 passes when inputs, library snapshot/version, formulas/rules, units, output values, rounding, scenario behavior, overrides, audit lineage and mapped tests are reproducible.</x:v>
      </x:c>
      <x:c r="F135" s="12" t="str">
        <x:v>v1.0.0</x:v>
      </x:c>
      <x:c r="G135" s="12" t="str">
        <x:v>Implementation-ready</x:v>
      </x:c>
    </x:row>
    <x:row r="136">
      <x:c r="A136" s="12" t="str">
        <x:v>P26-REQ-135</x:v>
      </x:c>
      <x:c r="B136" s="12" t="str">
        <x:v>Low/High Range</x:v>
      </x:c>
      <x:c r="C136" s="12" t="str">
        <x:v>Must</x:v>
      </x:c>
      <x:c r="D136" s="12" t="str">
        <x:v>GrounUp shall implement governed low/high range execution capability 135 using versioned Phase 25 library data, explicit quantity/production assumptions, deterministic calculation lineage, tenant security and mapped acceptance evidence.</x:v>
      </x:c>
      <x:c r="E136" s="12" t="str">
        <x:v>Capability 135 passes when inputs, library snapshot/version, formulas/rules, units, output values, rounding, scenario behavior, overrides, audit lineage and mapped tests are reproducible.</x:v>
      </x:c>
      <x:c r="F136" s="12" t="str">
        <x:v>v1.0.0</x:v>
      </x:c>
      <x:c r="G136" s="12" t="str">
        <x:v>Implementation-ready</x:v>
      </x:c>
    </x:row>
    <x:row r="137">
      <x:c r="A137" s="12" t="str">
        <x:v>P26-REQ-136</x:v>
      </x:c>
      <x:c r="B137" s="12" t="str">
        <x:v>Scenario Comparison</x:v>
      </x:c>
      <x:c r="C137" s="12" t="str">
        <x:v>Must</x:v>
      </x:c>
      <x:c r="D137" s="12" t="str">
        <x:v>GrounUp shall implement governed scenario comparison execution capability 136 using versioned Phase 25 library data, explicit quantity/production assumptions, deterministic calculation lineage, tenant security and mapped acceptance evidence.</x:v>
      </x:c>
      <x:c r="E137" s="12" t="str">
        <x:v>Capability 136 passes when inputs, library snapshot/version, formulas/rules, units, output values, rounding, scenario behavior, overrides, audit lineage and mapped tests are reproducible.</x:v>
      </x:c>
      <x:c r="F137" s="12" t="str">
        <x:v>v1.0.0</x:v>
      </x:c>
      <x:c r="G137" s="12" t="str">
        <x:v>Implementation-ready</x:v>
      </x:c>
    </x:row>
    <x:row r="138">
      <x:c r="A138" s="12" t="str">
        <x:v>P26-REQ-137</x:v>
      </x:c>
      <x:c r="B138" s="12" t="str">
        <x:v>Estimate Confidence</x:v>
      </x:c>
      <x:c r="C138" s="12" t="str">
        <x:v>Must</x:v>
      </x:c>
      <x:c r="D138" s="12" t="str">
        <x:v>GrounUp shall implement governed estimate confidence execution capability 137 using versioned Phase 25 library data, explicit quantity/production assumptions, deterministic calculation lineage, tenant security and mapped acceptance evidence.</x:v>
      </x:c>
      <x:c r="E138" s="12" t="str">
        <x:v>Capability 137 passes when inputs, library snapshot/version, formulas/rules, units, output values, rounding, scenario behavior, overrides, audit lineage and mapped tests are reproducible.</x:v>
      </x:c>
      <x:c r="F138" s="12" t="str">
        <x:v>v1.0.0</x:v>
      </x:c>
      <x:c r="G138" s="12" t="str">
        <x:v>Implementation-ready</x:v>
      </x:c>
    </x:row>
    <x:row r="139">
      <x:c r="A139" s="12" t="str">
        <x:v>P26-REQ-138</x:v>
      </x:c>
      <x:c r="B139" s="12" t="str">
        <x:v>Regional Pricing</x:v>
      </x:c>
      <x:c r="C139" s="12" t="str">
        <x:v>Must</x:v>
      </x:c>
      <x:c r="D139" s="12" t="str">
        <x:v>GrounUp shall implement governed regional pricing execution capability 138 using versioned Phase 25 library data, explicit quantity/production assumptions, deterministic calculation lineage, tenant security and mapped acceptance evidence.</x:v>
      </x:c>
      <x:c r="E139" s="12" t="str">
        <x:v>Capability 138 passes when inputs, library snapshot/version, formulas/rules, units, output values, rounding, scenario behavior, overrides, audit lineage and mapped tests are reproducible.</x:v>
      </x:c>
      <x:c r="F139" s="12" t="str">
        <x:v>v1.0.0</x:v>
      </x:c>
      <x:c r="G139" s="12" t="str">
        <x:v>Implementation-ready</x:v>
      </x:c>
    </x:row>
    <x:row r="140">
      <x:c r="A140" s="12" t="str">
        <x:v>P26-REQ-139</x:v>
      </x:c>
      <x:c r="B140" s="12" t="str">
        <x:v>Vendor Quote Override</x:v>
      </x:c>
      <x:c r="C140" s="12" t="str">
        <x:v>Must</x:v>
      </x:c>
      <x:c r="D140" s="12" t="str">
        <x:v>GrounUp shall implement governed vendor quote override execution capability 139 using versioned Phase 25 library data, explicit quantity/production assumptions, deterministic calculation lineage, tenant security and mapped acceptance evidence.</x:v>
      </x:c>
      <x:c r="E140" s="12" t="str">
        <x:v>Capability 139 passes when inputs, library snapshot/version, formulas/rules, units, output values, rounding, scenario behavior, overrides, audit lineage and mapped tests are reproducible.</x:v>
      </x:c>
      <x:c r="F140" s="12" t="str">
        <x:v>v1.0.0</x:v>
      </x:c>
      <x:c r="G140" s="12" t="str">
        <x:v>Implementation-ready</x:v>
      </x:c>
    </x:row>
    <x:row r="141">
      <x:c r="A141" s="12" t="str">
        <x:v>P26-REQ-140</x:v>
      </x:c>
      <x:c r="B141" s="12" t="str">
        <x:v>Snapshot Reproducibility</x:v>
      </x:c>
      <x:c r="C141" s="12" t="str">
        <x:v>Must</x:v>
      </x:c>
      <x:c r="D141" s="12" t="str">
        <x:v>GrounUp shall implement governed snapshot reproducibility execution capability 140 using versioned Phase 25 library data, explicit quantity/production assumptions, deterministic calculation lineage, tenant security and mapped acceptance evidence.</x:v>
      </x:c>
      <x:c r="E141" s="12" t="str">
        <x:v>Capability 140 passes when inputs, library snapshot/version, formulas/rules, units, output values, rounding, scenario behavior, overrides, audit lineage and mapped tests are reproducible.</x:v>
      </x:c>
      <x:c r="F141" s="12" t="str">
        <x:v>v1.0.0</x:v>
      </x:c>
      <x:c r="G141" s="12" t="str">
        <x:v>Implementation-ready</x:v>
      </x:c>
    </x:row>
    <x:row r="142">
      <x:c r="A142" s="12" t="str">
        <x:v>P26-REQ-141</x:v>
      </x:c>
      <x:c r="B142" s="12" t="str">
        <x:v>Service Catalog Writeback</x:v>
      </x:c>
      <x:c r="C142" s="12" t="str">
        <x:v>Must</x:v>
      </x:c>
      <x:c r="D142" s="12" t="str">
        <x:v>GrounUp shall implement governed service catalog writeback execution capability 141 using versioned Phase 25 library data, explicit quantity/production assumptions, deterministic calculation lineage, tenant security and mapped acceptance evidence.</x:v>
      </x:c>
      <x:c r="E142" s="12" t="str">
        <x:v>Capability 141 passes when inputs, library snapshot/version, formulas/rules, units, output values, rounding, scenario behavior, overrides, audit lineage and mapped tests are reproducible.</x:v>
      </x:c>
      <x:c r="F142" s="12" t="str">
        <x:v>v1.0.0</x:v>
      </x:c>
      <x:c r="G142" s="12" t="str">
        <x:v>Implementation-ready</x:v>
      </x:c>
    </x:row>
    <x:row r="143">
      <x:c r="A143" s="12" t="str">
        <x:v>P26-REQ-142</x:v>
      </x:c>
      <x:c r="B143" s="12" t="str">
        <x:v>AI Estimate Assist</x:v>
      </x:c>
      <x:c r="C143" s="12" t="str">
        <x:v>Must</x:v>
      </x:c>
      <x:c r="D143" s="12" t="str">
        <x:v>GrounUp shall implement governed ai estimate assist execution capability 142 using versioned Phase 25 library data, explicit quantity/production assumptions, deterministic calculation lineage, tenant security and mapped acceptance evidence.</x:v>
      </x:c>
      <x:c r="E143" s="12" t="str">
        <x:v>Capability 142 passes when inputs, library snapshot/version, formulas/rules, units, output values, rounding, scenario behavior, overrides, audit lineage and mapped tests are reproducible.</x:v>
      </x:c>
      <x:c r="F143" s="12" t="str">
        <x:v>v1.0.0</x:v>
      </x:c>
      <x:c r="G143" s="12" t="str">
        <x:v>Implementation-ready</x:v>
      </x:c>
    </x:row>
    <x:row r="144">
      <x:c r="A144" s="12" t="str">
        <x:v>P26-REQ-143</x:v>
      </x:c>
      <x:c r="B144" s="12" t="str">
        <x:v>Estimate Review &amp; Approval</x:v>
      </x:c>
      <x:c r="C144" s="12" t="str">
        <x:v>Must</x:v>
      </x:c>
      <x:c r="D144" s="12" t="str">
        <x:v>GrounUp shall implement governed estimate review &amp; approval execution capability 143 using versioned Phase 25 library data, explicit quantity/production assumptions, deterministic calculation lineage, tenant security and mapped acceptance evidence.</x:v>
      </x:c>
      <x:c r="E144" s="12" t="str">
        <x:v>Capability 143 passes when inputs, library snapshot/version, formulas/rules, units, output values, rounding, scenario behavior, overrides, audit lineage and mapped tests are reproducible.</x:v>
      </x:c>
      <x:c r="F144" s="12" t="str">
        <x:v>v1.0.0</x:v>
      </x:c>
      <x:c r="G144" s="12" t="str">
        <x:v>Implementation-ready</x:v>
      </x:c>
    </x:row>
    <x:row r="145">
      <x:c r="A145" s="12" t="str">
        <x:v>P26-REQ-144</x:v>
      </x:c>
      <x:c r="B145" s="12" t="str">
        <x:v>Estimate Export</x:v>
      </x:c>
      <x:c r="C145" s="12" t="str">
        <x:v>Must</x:v>
      </x:c>
      <x:c r="D145" s="12" t="str">
        <x:v>GrounUp shall implement governed estimate export execution capability 144 using versioned Phase 25 library data, explicit quantity/production assumptions, deterministic calculation lineage, tenant security and mapped acceptance evidence.</x:v>
      </x:c>
      <x:c r="E145" s="12" t="str">
        <x:v>Capability 144 passes when inputs, library snapshot/version, formulas/rules, units, output values, rounding, scenario behavior, overrides, audit lineage and mapped tests are reproducible.</x:v>
      </x:c>
      <x:c r="F145" s="12" t="str">
        <x:v>v1.0.0</x:v>
      </x:c>
      <x:c r="G145" s="12" t="str">
        <x:v>Implementation-ready</x:v>
      </x:c>
    </x:row>
    <x:row r="146">
      <x:c r="A146" s="12" t="str">
        <x:v>P26-REQ-145</x:v>
      </x:c>
      <x:c r="B146" s="12" t="str">
        <x:v>Proposal Handoff</x:v>
      </x:c>
      <x:c r="C146" s="12" t="str">
        <x:v>Must</x:v>
      </x:c>
      <x:c r="D146" s="12" t="str">
        <x:v>GrounUp shall implement governed proposal handoff execution capability 145 using versioned Phase 25 library data, explicit quantity/production assumptions, deterministic calculation lineage, tenant security and mapped acceptance evidence.</x:v>
      </x:c>
      <x:c r="E146" s="12" t="str">
        <x:v>Capability 145 passes when inputs, library snapshot/version, formulas/rules, units, output values, rounding, scenario behavior, overrides, audit lineage and mapped tests are reproducible.</x:v>
      </x:c>
      <x:c r="F146" s="12" t="str">
        <x:v>v1.0.0</x:v>
      </x:c>
      <x:c r="G146" s="12" t="str">
        <x:v>Implementation-ready</x:v>
      </x:c>
    </x:row>
    <x:row r="147">
      <x:c r="A147" s="12" t="str">
        <x:v>P26-REQ-146</x:v>
      </x:c>
      <x:c r="B147" s="12" t="str">
        <x:v>Job Cost Baseline</x:v>
      </x:c>
      <x:c r="C147" s="12" t="str">
        <x:v>Must</x:v>
      </x:c>
      <x:c r="D147" s="12" t="str">
        <x:v>GrounUp shall implement governed job cost baseline execution capability 146 using versioned Phase 25 library data, explicit quantity/production assumptions, deterministic calculation lineage, tenant security and mapped acceptance evidence.</x:v>
      </x:c>
      <x:c r="E147" s="12" t="str">
        <x:v>Capability 146 passes when inputs, library snapshot/version, formulas/rules, units, output values, rounding, scenario behavior, overrides, audit lineage and mapped tests are reproducible.</x:v>
      </x:c>
      <x:c r="F147" s="12" t="str">
        <x:v>v1.0.0</x:v>
      </x:c>
      <x:c r="G147" s="12" t="str">
        <x:v>Implementation-ready</x:v>
      </x:c>
    </x:row>
    <x:row r="148">
      <x:c r="A148" s="12" t="str">
        <x:v>P26-REQ-147</x:v>
      </x:c>
      <x:c r="B148" s="12" t="str">
        <x:v>Audit &amp; Traceability</x:v>
      </x:c>
      <x:c r="C148" s="12" t="str">
        <x:v>Must</x:v>
      </x:c>
      <x:c r="D148" s="12" t="str">
        <x:v>GrounUp shall implement governed audit &amp; traceability execution capability 147 using versioned Phase 25 library data, explicit quantity/production assumptions, deterministic calculation lineage, tenant security and mapped acceptance evidence.</x:v>
      </x:c>
      <x:c r="E148" s="12" t="str">
        <x:v>Capability 147 passes when inputs, library snapshot/version, formulas/rules, units, output values, rounding, scenario behavior, overrides, audit lineage and mapped tests are reproducible.</x:v>
      </x:c>
      <x:c r="F148" s="12" t="str">
        <x:v>v1.0.0</x:v>
      </x:c>
      <x:c r="G148" s="12" t="str">
        <x:v>Implementation-ready</x:v>
      </x:c>
    </x:row>
    <x:row r="149">
      <x:c r="A149" s="12" t="str">
        <x:v>P26-REQ-148</x:v>
      </x:c>
      <x:c r="B149" s="12" t="str">
        <x:v>Estimate Lifecycle</x:v>
      </x:c>
      <x:c r="C149" s="12" t="str">
        <x:v>Must</x:v>
      </x:c>
      <x:c r="D149" s="12" t="str">
        <x:v>GrounUp shall implement governed estimate lifecycle execution capability 148 using versioned Phase 25 library data, explicit quantity/production assumptions, deterministic calculation lineage, tenant security and mapped acceptance evidence.</x:v>
      </x:c>
      <x:c r="E149" s="12" t="str">
        <x:v>Capability 148 passes when inputs, library snapshot/version, formulas/rules, units, output values, rounding, scenario behavior, overrides, audit lineage and mapped tests are reproducible.</x:v>
      </x:c>
      <x:c r="F149" s="12" t="str">
        <x:v>v1.0.0</x:v>
      </x:c>
      <x:c r="G149" s="12" t="str">
        <x:v>Implementation-ready</x:v>
      </x:c>
    </x:row>
    <x:row r="150">
      <x:c r="A150" s="12" t="str">
        <x:v>P26-REQ-149</x:v>
      </x:c>
      <x:c r="B150" s="12" t="str">
        <x:v>Estimate Versions</x:v>
      </x:c>
      <x:c r="C150" s="12" t="str">
        <x:v>Must</x:v>
      </x:c>
      <x:c r="D150" s="12" t="str">
        <x:v>GrounUp shall implement governed estimate versions execution capability 149 using versioned Phase 25 library data, explicit quantity/production assumptions, deterministic calculation lineage, tenant security and mapped acceptance evidence.</x:v>
      </x:c>
      <x:c r="E150" s="12" t="str">
        <x:v>Capability 149 passes when inputs, library snapshot/version, formulas/rules, units, output values, rounding, scenario behavior, overrides, audit lineage and mapped tests are reproducible.</x:v>
      </x:c>
      <x:c r="F150" s="12" t="str">
        <x:v>v1.0.0</x:v>
      </x:c>
      <x:c r="G150" s="12" t="str">
        <x:v>Implementation-ready</x:v>
      </x:c>
    </x:row>
    <x:row r="151">
      <x:c r="A151" s="12" t="str">
        <x:v>P26-REQ-150</x:v>
      </x:c>
      <x:c r="B151" s="12" t="str">
        <x:v>Estimate Templates</x:v>
      </x:c>
      <x:c r="C151" s="12" t="str">
        <x:v>Must</x:v>
      </x:c>
      <x:c r="D151" s="12" t="str">
        <x:v>GrounUp shall implement governed estimate templates execution capability 150 using versioned Phase 25 library data, explicit quantity/production assumptions, deterministic calculation lineage, tenant security and mapped acceptance evidence.</x:v>
      </x:c>
      <x:c r="E151" s="12" t="str">
        <x:v>Capability 150 passes when inputs, library snapshot/version, formulas/rules, units, output values, rounding, scenario behavior, overrides, audit lineage and mapped tests are reproducible.</x:v>
      </x:c>
      <x:c r="F151" s="12" t="str">
        <x:v>v1.0.0</x:v>
      </x:c>
      <x:c r="G151" s="12" t="str">
        <x:v>Implementation-ready</x:v>
      </x:c>
    </x:row>
    <x:row r="152">
      <x:c r="A152" s="12" t="str">
        <x:v>P26-REQ-151</x:v>
      </x:c>
      <x:c r="B152" s="12" t="str">
        <x:v>Service Selection</x:v>
      </x:c>
      <x:c r="C152" s="12" t="str">
        <x:v>Must</x:v>
      </x:c>
      <x:c r="D152" s="12" t="str">
        <x:v>GrounUp shall implement governed service selection execution capability 151 using versioned Phase 25 library data, explicit quantity/production assumptions, deterministic calculation lineage, tenant security and mapped acceptance evidence.</x:v>
      </x:c>
      <x:c r="E152" s="12" t="str">
        <x:v>Capability 151 passes when inputs, library snapshot/version, formulas/rules, units, output values, rounding, scenario behavior, overrides, audit lineage and mapped tests are reproducible.</x:v>
      </x:c>
      <x:c r="F152" s="12" t="str">
        <x:v>v1.0.0</x:v>
      </x:c>
      <x:c r="G152" s="12" t="str">
        <x:v>Implementation-ready</x:v>
      </x:c>
    </x:row>
    <x:row r="153">
      <x:c r="A153" s="12" t="str">
        <x:v>P26-REQ-152</x:v>
      </x:c>
      <x:c r="B153" s="12" t="str">
        <x:v>Assembly Expansion</x:v>
      </x:c>
      <x:c r="C153" s="12" t="str">
        <x:v>Must</x:v>
      </x:c>
      <x:c r="D153" s="12" t="str">
        <x:v>GrounUp shall implement governed assembly expansion execution capability 152 using versioned Phase 25 library data, explicit quantity/production assumptions, deterministic calculation lineage, tenant security and mapped acceptance evidence.</x:v>
      </x:c>
      <x:c r="E153" s="12" t="str">
        <x:v>Capability 152 passes when inputs, library snapshot/version, formulas/rules, units, output values, rounding, scenario behavior, overrides, audit lineage and mapped tests are reproducible.</x:v>
      </x:c>
      <x:c r="F153" s="12" t="str">
        <x:v>v1.0.0</x:v>
      </x:c>
      <x:c r="G153" s="12" t="str">
        <x:v>Implementation-ready</x:v>
      </x:c>
    </x:row>
    <x:row r="154">
      <x:c r="A154" s="12" t="str">
        <x:v>P26-REQ-153</x:v>
      </x:c>
      <x:c r="B154" s="12" t="str">
        <x:v>Quantity Input</x:v>
      </x:c>
      <x:c r="C154" s="12" t="str">
        <x:v>Must</x:v>
      </x:c>
      <x:c r="D154" s="12" t="str">
        <x:v>GrounUp shall implement governed quantity input execution capability 153 using versioned Phase 25 library data, explicit quantity/production assumptions, deterministic calculation lineage, tenant security and mapped acceptance evidence.</x:v>
      </x:c>
      <x:c r="E154" s="12" t="str">
        <x:v>Capability 153 passes when inputs, library snapshot/version, formulas/rules, units, output values, rounding, scenario behavior, overrides, audit lineage and mapped tests are reproducible.</x:v>
      </x:c>
      <x:c r="F154" s="12" t="str">
        <x:v>v1.0.0</x:v>
      </x:c>
      <x:c r="G154" s="12" t="str">
        <x:v>Implementation-ready</x:v>
      </x:c>
    </x:row>
    <x:row r="155">
      <x:c r="A155" s="12" t="str">
        <x:v>P26-REQ-154</x:v>
      </x:c>
      <x:c r="B155" s="12" t="str">
        <x:v>Quantity Takeoff Intake</x:v>
      </x:c>
      <x:c r="C155" s="12" t="str">
        <x:v>Must</x:v>
      </x:c>
      <x:c r="D155" s="12" t="str">
        <x:v>GrounUp shall implement governed quantity takeoff intake execution capability 154 using versioned Phase 25 library data, explicit quantity/production assumptions, deterministic calculation lineage, tenant security and mapped acceptance evidence.</x:v>
      </x:c>
      <x:c r="E155" s="12" t="str">
        <x:v>Capability 154 passes when inputs, library snapshot/version, formulas/rules, units, output values, rounding, scenario behavior, overrides, audit lineage and mapped tests are reproducible.</x:v>
      </x:c>
      <x:c r="F155" s="12" t="str">
        <x:v>v1.0.0</x:v>
      </x:c>
      <x:c r="G155" s="12" t="str">
        <x:v>Implementation-ready</x:v>
      </x:c>
    </x:row>
    <x:row r="156">
      <x:c r="A156" s="12" t="str">
        <x:v>P26-REQ-155</x:v>
      </x:c>
      <x:c r="B156" s="12" t="str">
        <x:v>Labor Cost</x:v>
      </x:c>
      <x:c r="C156" s="12" t="str">
        <x:v>Must</x:v>
      </x:c>
      <x:c r="D156" s="12" t="str">
        <x:v>GrounUp shall implement governed labor cost execution capability 155 using versioned Phase 25 library data, explicit quantity/production assumptions, deterministic calculation lineage, tenant security and mapped acceptance evidence.</x:v>
      </x:c>
      <x:c r="E156" s="12" t="str">
        <x:v>Capability 155 passes when inputs, library snapshot/version, formulas/rules, units, output values, rounding, scenario behavior, overrides, audit lineage and mapped tests are reproducible.</x:v>
      </x:c>
      <x:c r="F156" s="12" t="str">
        <x:v>v1.0.0</x:v>
      </x:c>
      <x:c r="G156" s="12" t="str">
        <x:v>Implementation-ready</x:v>
      </x:c>
    </x:row>
    <x:row r="157">
      <x:c r="A157" s="12" t="str">
        <x:v>P26-REQ-156</x:v>
      </x:c>
      <x:c r="B157" s="12" t="str">
        <x:v>Labor Burden</x:v>
      </x:c>
      <x:c r="C157" s="12" t="str">
        <x:v>Must</x:v>
      </x:c>
      <x:c r="D157" s="12" t="str">
        <x:v>GrounUp shall implement governed labor burden execution capability 156 using versioned Phase 25 library data, explicit quantity/production assumptions, deterministic calculation lineage, tenant security and mapped acceptance evidence.</x:v>
      </x:c>
      <x:c r="E157" s="12" t="str">
        <x:v>Capability 156 passes when inputs, library snapshot/version, formulas/rules, units, output values, rounding, scenario behavior, overrides, audit lineage and mapped tests are reproducible.</x:v>
      </x:c>
      <x:c r="F157" s="12" t="str">
        <x:v>v1.0.0</x:v>
      </x:c>
      <x:c r="G157" s="12" t="str">
        <x:v>Implementation-ready</x:v>
      </x:c>
    </x:row>
    <x:row r="158">
      <x:c r="A158" s="12" t="str">
        <x:v>P26-REQ-157</x:v>
      </x:c>
      <x:c r="B158" s="12" t="str">
        <x:v>Crew Composition</x:v>
      </x:c>
      <x:c r="C158" s="12" t="str">
        <x:v>Must</x:v>
      </x:c>
      <x:c r="D158" s="12" t="str">
        <x:v>GrounUp shall implement governed crew composition execution capability 157 using versioned Phase 25 library data, explicit quantity/production assumptions, deterministic calculation lineage, tenant security and mapped acceptance evidence.</x:v>
      </x:c>
      <x:c r="E158" s="12" t="str">
        <x:v>Capability 157 passes when inputs, library snapshot/version, formulas/rules, units, output values, rounding, scenario behavior, overrides, audit lineage and mapped tests are reproducible.</x:v>
      </x:c>
      <x:c r="F158" s="12" t="str">
        <x:v>v1.0.0</x:v>
      </x:c>
      <x:c r="G158" s="12" t="str">
        <x:v>Implementation-ready</x:v>
      </x:c>
    </x:row>
    <x:row r="159">
      <x:c r="A159" s="12" t="str">
        <x:v>P26-REQ-158</x:v>
      </x:c>
      <x:c r="B159" s="12" t="str">
        <x:v>Crew Size Recommendation</x:v>
      </x:c>
      <x:c r="C159" s="12" t="str">
        <x:v>Must</x:v>
      </x:c>
      <x:c r="D159" s="12" t="str">
        <x:v>GrounUp shall implement governed crew size recommendation execution capability 158 using versioned Phase 25 library data, explicit quantity/production assumptions, deterministic calculation lineage, tenant security and mapped acceptance evidence.</x:v>
      </x:c>
      <x:c r="E159" s="12" t="str">
        <x:v>Capability 158 passes when inputs, library snapshot/version, formulas/rules, units, output values, rounding, scenario behavior, overrides, audit lineage and mapped tests are reproducible.</x:v>
      </x:c>
      <x:c r="F159" s="12" t="str">
        <x:v>v1.0.0</x:v>
      </x:c>
      <x:c r="G159" s="12" t="str">
        <x:v>Implementation-ready</x:v>
      </x:c>
    </x:row>
    <x:row r="160">
      <x:c r="A160" s="12" t="str">
        <x:v>P26-REQ-159</x:v>
      </x:c>
      <x:c r="B160" s="12" t="str">
        <x:v>Equipment Selection</x:v>
      </x:c>
      <x:c r="C160" s="12" t="str">
        <x:v>Must</x:v>
      </x:c>
      <x:c r="D160" s="12" t="str">
        <x:v>GrounUp shall implement governed equipment selection execution capability 159 using versioned Phase 25 library data, explicit quantity/production assumptions, deterministic calculation lineage, tenant security and mapped acceptance evidence.</x:v>
      </x:c>
      <x:c r="E160" s="12" t="str">
        <x:v>Capability 159 passes when inputs, library snapshot/version, formulas/rules, units, output values, rounding, scenario behavior, overrides, audit lineage and mapped tests are reproducible.</x:v>
      </x:c>
      <x:c r="F160" s="12" t="str">
        <x:v>v1.0.0</x:v>
      </x:c>
      <x:c r="G160" s="12" t="str">
        <x:v>Implementation-ready</x:v>
      </x:c>
    </x:row>
    <x:row r="161">
      <x:c r="A161" s="12" t="str">
        <x:v>P26-REQ-160</x:v>
      </x:c>
      <x:c r="B161" s="12" t="str">
        <x:v>Equipment Cost</x:v>
      </x:c>
      <x:c r="C161" s="12" t="str">
        <x:v>Must</x:v>
      </x:c>
      <x:c r="D161" s="12" t="str">
        <x:v>GrounUp shall implement governed equipment cost execution capability 160 using versioned Phase 25 library data, explicit quantity/production assumptions, deterministic calculation lineage, tenant security and mapped acceptance evidence.</x:v>
      </x:c>
      <x:c r="E161" s="12" t="str">
        <x:v>Capability 160 passes when inputs, library snapshot/version, formulas/rules, units, output values, rounding, scenario behavior, overrides, audit lineage and mapped tests are reproducible.</x:v>
      </x:c>
      <x:c r="F161" s="12" t="str">
        <x:v>v1.0.0</x:v>
      </x:c>
      <x:c r="G161" s="12" t="str">
        <x:v>Implementation-ready</x:v>
      </x:c>
    </x:row>
    <x:row r="162">
      <x:c r="A162" s="12" t="str">
        <x:v>P26-REQ-161</x:v>
      </x:c>
      <x:c r="B162" s="12" t="str">
        <x:v>Equipment Rate Selection</x:v>
      </x:c>
      <x:c r="C162" s="12" t="str">
        <x:v>Must</x:v>
      </x:c>
      <x:c r="D162" s="12" t="str">
        <x:v>GrounUp shall implement governed equipment rate selection execution capability 161 using versioned Phase 25 library data, explicit quantity/production assumptions, deterministic calculation lineage, tenant security and mapped acceptance evidence.</x:v>
      </x:c>
      <x:c r="E162" s="12" t="str">
        <x:v>Capability 161 passes when inputs, library snapshot/version, formulas/rules, units, output values, rounding, scenario behavior, overrides, audit lineage and mapped tests are reproducible.</x:v>
      </x:c>
      <x:c r="F162" s="12" t="str">
        <x:v>v1.0.0</x:v>
      </x:c>
      <x:c r="G162" s="12" t="str">
        <x:v>Implementation-ready</x:v>
      </x:c>
    </x:row>
    <x:row r="163">
      <x:c r="A163" s="12" t="str">
        <x:v>P26-REQ-162</x:v>
      </x:c>
      <x:c r="B163" s="12" t="str">
        <x:v>Fuel Consumption</x:v>
      </x:c>
      <x:c r="C163" s="12" t="str">
        <x:v>Must</x:v>
      </x:c>
      <x:c r="D163" s="12" t="str">
        <x:v>GrounUp shall implement governed fuel consumption execution capability 162 using versioned Phase 25 library data, explicit quantity/production assumptions, deterministic calculation lineage, tenant security and mapped acceptance evidence.</x:v>
      </x:c>
      <x:c r="E163" s="12" t="str">
        <x:v>Capability 162 passes when inputs, library snapshot/version, formulas/rules, units, output values, rounding, scenario behavior, overrides, audit lineage and mapped tests are reproducible.</x:v>
      </x:c>
      <x:c r="F163" s="12" t="str">
        <x:v>v1.0.0</x:v>
      </x:c>
      <x:c r="G163" s="12" t="str">
        <x:v>Implementation-ready</x:v>
      </x:c>
    </x:row>
    <x:row r="164">
      <x:c r="A164" s="12" t="str">
        <x:v>P26-REQ-163</x:v>
      </x:c>
      <x:c r="B164" s="12" t="str">
        <x:v>Truck Selection</x:v>
      </x:c>
      <x:c r="C164" s="12" t="str">
        <x:v>Must</x:v>
      </x:c>
      <x:c r="D164" s="12" t="str">
        <x:v>GrounUp shall implement governed truck selection execution capability 163 using versioned Phase 25 library data, explicit quantity/production assumptions, deterministic calculation lineage, tenant security and mapped acceptance evidence.</x:v>
      </x:c>
      <x:c r="E164" s="12" t="str">
        <x:v>Capability 163 passes when inputs, library snapshot/version, formulas/rules, units, output values, rounding, scenario behavior, overrides, audit lineage and mapped tests are reproducible.</x:v>
      </x:c>
      <x:c r="F164" s="12" t="str">
        <x:v>v1.0.0</x:v>
      </x:c>
      <x:c r="G164" s="12" t="str">
        <x:v>Implementation-ready</x:v>
      </x:c>
    </x:row>
    <x:row r="165">
      <x:c r="A165" s="12" t="str">
        <x:v>P26-REQ-164</x:v>
      </x:c>
      <x:c r="B165" s="12" t="str">
        <x:v>Truck Cycle Calculation</x:v>
      </x:c>
      <x:c r="C165" s="12" t="str">
        <x:v>Must</x:v>
      </x:c>
      <x:c r="D165" s="12" t="str">
        <x:v>GrounUp shall implement governed truck cycle calculation execution capability 164 using versioned Phase 25 library data, explicit quantity/production assumptions, deterministic calculation lineage, tenant security and mapped acceptance evidence.</x:v>
      </x:c>
      <x:c r="E165" s="12" t="str">
        <x:v>Capability 164 passes when inputs, library snapshot/version, formulas/rules, units, output values, rounding, scenario behavior, overrides, audit lineage and mapped tests are reproducible.</x:v>
      </x:c>
      <x:c r="F165" s="12" t="str">
        <x:v>v1.0.0</x:v>
      </x:c>
      <x:c r="G165" s="12" t="str">
        <x:v>Implementation-ready</x:v>
      </x:c>
    </x:row>
    <x:row r="166">
      <x:c r="A166" s="12" t="str">
        <x:v>P26-REQ-165</x:v>
      </x:c>
      <x:c r="B166" s="12" t="str">
        <x:v>Truck Count</x:v>
      </x:c>
      <x:c r="C166" s="12" t="str">
        <x:v>Must</x:v>
      </x:c>
      <x:c r="D166" s="12" t="str">
        <x:v>GrounUp shall implement governed truck count execution capability 165 using versioned Phase 25 library data, explicit quantity/production assumptions, deterministic calculation lineage, tenant security and mapped acceptance evidence.</x:v>
      </x:c>
      <x:c r="E166" s="12" t="str">
        <x:v>Capability 165 passes when inputs, library snapshot/version, formulas/rules, units, output values, rounding, scenario behavior, overrides, audit lineage and mapped tests are reproducible.</x:v>
      </x:c>
      <x:c r="F166" s="12" t="str">
        <x:v>v1.0.0</x:v>
      </x:c>
      <x:c r="G166" s="12" t="str">
        <x:v>Implementation-ready</x:v>
      </x:c>
    </x:row>
    <x:row r="167">
      <x:c r="A167" s="12" t="str">
        <x:v>P26-REQ-166</x:v>
      </x:c>
      <x:c r="B167" s="12" t="str">
        <x:v>Haul Distance</x:v>
      </x:c>
      <x:c r="C167" s="12" t="str">
        <x:v>Must</x:v>
      </x:c>
      <x:c r="D167" s="12" t="str">
        <x:v>GrounUp shall implement governed haul distance execution capability 166 using versioned Phase 25 library data, explicit quantity/production assumptions, deterministic calculation lineage, tenant security and mapped acceptance evidence.</x:v>
      </x:c>
      <x:c r="E167" s="12" t="str">
        <x:v>Capability 166 passes when inputs, library snapshot/version, formulas/rules, units, output values, rounding, scenario behavior, overrides, audit lineage and mapped tests are reproducible.</x:v>
      </x:c>
      <x:c r="F167" s="12" t="str">
        <x:v>v1.0.0</x:v>
      </x:c>
      <x:c r="G167" s="12" t="str">
        <x:v>Implementation-ready</x:v>
      </x:c>
    </x:row>
    <x:row r="168">
      <x:c r="A168" s="12" t="str">
        <x:v>P26-REQ-167</x:v>
      </x:c>
      <x:c r="B168" s="12" t="str">
        <x:v>Disposal Cost</x:v>
      </x:c>
      <x:c r="C168" s="12" t="str">
        <x:v>Must</x:v>
      </x:c>
      <x:c r="D168" s="12" t="str">
        <x:v>GrounUp shall implement governed disposal cost execution capability 167 using versioned Phase 25 library data, explicit quantity/production assumptions, deterministic calculation lineage, tenant security and mapped acceptance evidence.</x:v>
      </x:c>
      <x:c r="E168" s="12" t="str">
        <x:v>Capability 167 passes when inputs, library snapshot/version, formulas/rules, units, output values, rounding, scenario behavior, overrides, audit lineage and mapped tests are reproducible.</x:v>
      </x:c>
      <x:c r="F168" s="12" t="str">
        <x:v>v1.0.0</x:v>
      </x:c>
      <x:c r="G168" s="12" t="str">
        <x:v>Implementation-ready</x:v>
      </x:c>
    </x:row>
    <x:row r="169">
      <x:c r="A169" s="12" t="str">
        <x:v>P26-REQ-168</x:v>
      </x:c>
      <x:c r="B169" s="12" t="str">
        <x:v>Material Cost</x:v>
      </x:c>
      <x:c r="C169" s="12" t="str">
        <x:v>Must</x:v>
      </x:c>
      <x:c r="D169" s="12" t="str">
        <x:v>GrounUp shall implement governed material cost execution capability 168 using versioned Phase 25 library data, explicit quantity/production assumptions, deterministic calculation lineage, tenant security and mapped acceptance evidence.</x:v>
      </x:c>
      <x:c r="E169" s="12" t="str">
        <x:v>Capability 168 passes when inputs, library snapshot/version, formulas/rules, units, output values, rounding, scenario behavior, overrides, audit lineage and mapped tests are reproducible.</x:v>
      </x:c>
      <x:c r="F169" s="12" t="str">
        <x:v>v1.0.0</x:v>
      </x:c>
      <x:c r="G169" s="12" t="str">
        <x:v>Implementation-ready</x:v>
      </x:c>
    </x:row>
    <x:row r="170">
      <x:c r="A170" s="12" t="str">
        <x:v>P26-REQ-169</x:v>
      </x:c>
      <x:c r="B170" s="12" t="str">
        <x:v>Material Waste</x:v>
      </x:c>
      <x:c r="C170" s="12" t="str">
        <x:v>Must</x:v>
      </x:c>
      <x:c r="D170" s="12" t="str">
        <x:v>GrounUp shall implement governed material waste execution capability 169 using versioned Phase 25 library data, explicit quantity/production assumptions, deterministic calculation lineage, tenant security and mapped acceptance evidence.</x:v>
      </x:c>
      <x:c r="E170" s="12" t="str">
        <x:v>Capability 169 passes when inputs, library snapshot/version, formulas/rules, units, output values, rounding, scenario behavior, overrides, audit lineage and mapped tests are reproducible.</x:v>
      </x:c>
      <x:c r="F170" s="12" t="str">
        <x:v>v1.0.0</x:v>
      </x:c>
      <x:c r="G170" s="12" t="str">
        <x:v>Implementation-ready</x:v>
      </x:c>
    </x:row>
    <x:row r="171">
      <x:c r="A171" s="12" t="str">
        <x:v>P26-REQ-170</x:v>
      </x:c>
      <x:c r="B171" s="12" t="str">
        <x:v>Subcontract Cost</x:v>
      </x:c>
      <x:c r="C171" s="12" t="str">
        <x:v>Must</x:v>
      </x:c>
      <x:c r="D171" s="12" t="str">
        <x:v>GrounUp shall implement governed subcontract cost execution capability 170 using versioned Phase 25 library data, explicit quantity/production assumptions, deterministic calculation lineage, tenant security and mapped acceptance evidence.</x:v>
      </x:c>
      <x:c r="E171" s="12" t="str">
        <x:v>Capability 170 passes when inputs, library snapshot/version, formulas/rules, units, output values, rounding, scenario behavior, overrides, audit lineage and mapped tests are reproducible.</x:v>
      </x:c>
      <x:c r="F171" s="12" t="str">
        <x:v>v1.0.0</x:v>
      </x:c>
      <x:c r="G171" s="12" t="str">
        <x:v>Implementation-ready</x:v>
      </x:c>
    </x:row>
    <x:row r="172">
      <x:c r="A172" s="12" t="str">
        <x:v>P26-REQ-171</x:v>
      </x:c>
      <x:c r="B172" s="12" t="str">
        <x:v>Production Rate</x:v>
      </x:c>
      <x:c r="C172" s="12" t="str">
        <x:v>Must</x:v>
      </x:c>
      <x:c r="D172" s="12" t="str">
        <x:v>GrounUp shall implement governed production rate execution capability 171 using versioned Phase 25 library data, explicit quantity/production assumptions, deterministic calculation lineage, tenant security and mapped acceptance evidence.</x:v>
      </x:c>
      <x:c r="E172" s="12" t="str">
        <x:v>Capability 171 passes when inputs, library snapshot/version, formulas/rules, units, output values, rounding, scenario behavior, overrides, audit lineage and mapped tests are reproducible.</x:v>
      </x:c>
      <x:c r="F172" s="12" t="str">
        <x:v>v1.0.0</x:v>
      </x:c>
      <x:c r="G172" s="12" t="str">
        <x:v>Implementation-ready</x:v>
      </x:c>
    </x:row>
    <x:row r="173">
      <x:c r="A173" s="12" t="str">
        <x:v>P26-REQ-172</x:v>
      </x:c>
      <x:c r="B173" s="12" t="str">
        <x:v>Production Modifiers</x:v>
      </x:c>
      <x:c r="C173" s="12" t="str">
        <x:v>Must</x:v>
      </x:c>
      <x:c r="D173" s="12" t="str">
        <x:v>GrounUp shall implement governed production modifiers execution capability 172 using versioned Phase 25 library data, explicit quantity/production assumptions, deterministic calculation lineage, tenant security and mapped acceptance evidence.</x:v>
      </x:c>
      <x:c r="E173" s="12" t="str">
        <x:v>Capability 172 passes when inputs, library snapshot/version, formulas/rules, units, output values, rounding, scenario behavior, overrides, audit lineage and mapped tests are reproducible.</x:v>
      </x:c>
      <x:c r="F173" s="12" t="str">
        <x:v>v1.0.0</x:v>
      </x:c>
      <x:c r="G173" s="12" t="str">
        <x:v>Implementation-ready</x:v>
      </x:c>
    </x:row>
    <x:row r="174">
      <x:c r="A174" s="12" t="str">
        <x:v>P26-REQ-173</x:v>
      </x:c>
      <x:c r="B174" s="12" t="str">
        <x:v>Duration Calculation</x:v>
      </x:c>
      <x:c r="C174" s="12" t="str">
        <x:v>Must</x:v>
      </x:c>
      <x:c r="D174" s="12" t="str">
        <x:v>GrounUp shall implement governed duration calculation execution capability 173 using versioned Phase 25 library data, explicit quantity/production assumptions, deterministic calculation lineage, tenant security and mapped acceptance evidence.</x:v>
      </x:c>
      <x:c r="E174" s="12" t="str">
        <x:v>Capability 173 passes when inputs, library snapshot/version, formulas/rules, units, output values, rounding, scenario behavior, overrides, audit lineage and mapped tests are reproducible.</x:v>
      </x:c>
      <x:c r="F174" s="12" t="str">
        <x:v>v1.0.0</x:v>
      </x:c>
      <x:c r="G174" s="12" t="str">
        <x:v>Implementation-ready</x:v>
      </x:c>
    </x:row>
    <x:row r="175">
      <x:c r="A175" s="12" t="str">
        <x:v>P26-REQ-174</x:v>
      </x:c>
      <x:c r="B175" s="12" t="str">
        <x:v>Work Hours &amp; Shifts</x:v>
      </x:c>
      <x:c r="C175" s="12" t="str">
        <x:v>Must</x:v>
      </x:c>
      <x:c r="D175" s="12" t="str">
        <x:v>GrounUp shall implement governed work hours &amp; shifts execution capability 174 using versioned Phase 25 library data, explicit quantity/production assumptions, deterministic calculation lineage, tenant security and mapped acceptance evidence.</x:v>
      </x:c>
      <x:c r="E175" s="12" t="str">
        <x:v>Capability 174 passes when inputs, library snapshot/version, formulas/rules, units, output values, rounding, scenario behavior, overrides, audit lineage and mapped tests are reproducible.</x:v>
      </x:c>
      <x:c r="F175" s="12" t="str">
        <x:v>v1.0.0</x:v>
      </x:c>
      <x:c r="G175" s="12" t="str">
        <x:v>Implementation-ready</x:v>
      </x:c>
    </x:row>
    <x:row r="176">
      <x:c r="A176" s="12" t="str">
        <x:v>P26-REQ-175</x:v>
      </x:c>
      <x:c r="B176" s="12" t="str">
        <x:v>Mobilization</x:v>
      </x:c>
      <x:c r="C176" s="12" t="str">
        <x:v>Must</x:v>
      </x:c>
      <x:c r="D176" s="12" t="str">
        <x:v>GrounUp shall implement governed mobilization execution capability 175 using versioned Phase 25 library data, explicit quantity/production assumptions, deterministic calculation lineage, tenant security and mapped acceptance evidence.</x:v>
      </x:c>
      <x:c r="E176" s="12" t="str">
        <x:v>Capability 175 passes when inputs, library snapshot/version, formulas/rules, units, output values, rounding, scenario behavior, overrides, audit lineage and mapped tests are reproducible.</x:v>
      </x:c>
      <x:c r="F176" s="12" t="str">
        <x:v>v1.0.0</x:v>
      </x:c>
      <x:c r="G176" s="12" t="str">
        <x:v>Implementation-ready</x:v>
      </x:c>
    </x:row>
    <x:row r="177">
      <x:c r="A177" s="12" t="str">
        <x:v>P26-REQ-176</x:v>
      </x:c>
      <x:c r="B177" s="12" t="str">
        <x:v>Demobilization</x:v>
      </x:c>
      <x:c r="C177" s="12" t="str">
        <x:v>Must</x:v>
      </x:c>
      <x:c r="D177" s="12" t="str">
        <x:v>GrounUp shall implement governed demobilization execution capability 176 using versioned Phase 25 library data, explicit quantity/production assumptions, deterministic calculation lineage, tenant security and mapped acceptance evidence.</x:v>
      </x:c>
      <x:c r="E177" s="12" t="str">
        <x:v>Capability 176 passes when inputs, library snapshot/version, formulas/rules, units, output values, rounding, scenario behavior, overrides, audit lineage and mapped tests are reproducible.</x:v>
      </x:c>
      <x:c r="F177" s="12" t="str">
        <x:v>v1.0.0</x:v>
      </x:c>
      <x:c r="G177" s="12" t="str">
        <x:v>Implementation-ready</x:v>
      </x:c>
    </x:row>
    <x:row r="178">
      <x:c r="A178" s="12" t="str">
        <x:v>P26-REQ-177</x:v>
      </x:c>
      <x:c r="B178" s="12" t="str">
        <x:v>Indirect Costs</x:v>
      </x:c>
      <x:c r="C178" s="12" t="str">
        <x:v>Must</x:v>
      </x:c>
      <x:c r="D178" s="12" t="str">
        <x:v>GrounUp shall implement governed indirect costs execution capability 177 using versioned Phase 25 library data, explicit quantity/production assumptions, deterministic calculation lineage, tenant security and mapped acceptance evidence.</x:v>
      </x:c>
      <x:c r="E178" s="12" t="str">
        <x:v>Capability 177 passes when inputs, library snapshot/version, formulas/rules, units, output values, rounding, scenario behavior, overrides, audit lineage and mapped tests are reproducible.</x:v>
      </x:c>
      <x:c r="F178" s="12" t="str">
        <x:v>v1.0.0</x:v>
      </x:c>
      <x:c r="G178" s="12" t="str">
        <x:v>Implementation-ready</x:v>
      </x:c>
    </x:row>
    <x:row r="179">
      <x:c r="A179" s="12" t="str">
        <x:v>P26-REQ-178</x:v>
      </x:c>
      <x:c r="B179" s="12" t="str">
        <x:v>Contingency</x:v>
      </x:c>
      <x:c r="C179" s="12" t="str">
        <x:v>Must</x:v>
      </x:c>
      <x:c r="D179" s="12" t="str">
        <x:v>GrounUp shall implement governed contingency execution capability 178 using versioned Phase 25 library data, explicit quantity/production assumptions, deterministic calculation lineage, tenant security and mapped acceptance evidence.</x:v>
      </x:c>
      <x:c r="E179" s="12" t="str">
        <x:v>Capability 178 passes when inputs, library snapshot/version, formulas/rules, units, output values, rounding, scenario behavior, overrides, audit lineage and mapped tests are reproducible.</x:v>
      </x:c>
      <x:c r="F179" s="12" t="str">
        <x:v>v1.0.0</x:v>
      </x:c>
      <x:c r="G179" s="12" t="str">
        <x:v>Implementation-ready</x:v>
      </x:c>
    </x:row>
    <x:row r="180">
      <x:c r="A180" s="12" t="str">
        <x:v>P26-REQ-179</x:v>
      </x:c>
      <x:c r="B180" s="12" t="str">
        <x:v>Markup</x:v>
      </x:c>
      <x:c r="C180" s="12" t="str">
        <x:v>Must</x:v>
      </x:c>
      <x:c r="D180" s="12" t="str">
        <x:v>GrounUp shall implement governed markup execution capability 179 using versioned Phase 25 library data, explicit quantity/production assumptions, deterministic calculation lineage, tenant security and mapped acceptance evidence.</x:v>
      </x:c>
      <x:c r="E180" s="12" t="str">
        <x:v>Capability 179 passes when inputs, library snapshot/version, formulas/rules, units, output values, rounding, scenario behavior, overrides, audit lineage and mapped tests are reproducible.</x:v>
      </x:c>
      <x:c r="F180" s="12" t="str">
        <x:v>v1.0.0</x:v>
      </x:c>
      <x:c r="G180" s="12" t="str">
        <x:v>Implementation-ready</x:v>
      </x:c>
    </x:row>
    <x:row r="181">
      <x:c r="A181" s="12" t="str">
        <x:v>P26-REQ-180</x:v>
      </x:c>
      <x:c r="B181" s="12" t="str">
        <x:v>Overhead &amp; Profit</x:v>
      </x:c>
      <x:c r="C181" s="12" t="str">
        <x:v>Must</x:v>
      </x:c>
      <x:c r="D181" s="12" t="str">
        <x:v>GrounUp shall implement governed overhead &amp; profit execution capability 180 using versioned Phase 25 library data, explicit quantity/production assumptions, deterministic calculation lineage, tenant security and mapped acceptance evidence.</x:v>
      </x:c>
      <x:c r="E181" s="12" t="str">
        <x:v>Capability 180 passes when inputs, library snapshot/version, formulas/rules, units, output values, rounding, scenario behavior, overrides, audit lineage and mapped tests are reproducible.</x:v>
      </x:c>
      <x:c r="F181" s="12" t="str">
        <x:v>v1.0.0</x:v>
      </x:c>
      <x:c r="G181" s="12" t="str">
        <x:v>Implementation-ready</x:v>
      </x:c>
    </x:row>
    <x:row r="182">
      <x:c r="A182" s="12" t="str">
        <x:v>P26-REQ-181</x:v>
      </x:c>
      <x:c r="B182" s="12" t="str">
        <x:v>Tax &amp; Bond</x:v>
      </x:c>
      <x:c r="C182" s="12" t="str">
        <x:v>Must</x:v>
      </x:c>
      <x:c r="D182" s="12" t="str">
        <x:v>GrounUp shall implement governed tax &amp; bond execution capability 181 using versioned Phase 25 library data, explicit quantity/production assumptions, deterministic calculation lineage, tenant security and mapped acceptance evidence.</x:v>
      </x:c>
      <x:c r="E182" s="12" t="str">
        <x:v>Capability 181 passes when inputs, library snapshot/version, formulas/rules, units, output values, rounding, scenario behavior, overrides, audit lineage and mapped tests are reproducible.</x:v>
      </x:c>
      <x:c r="F182" s="12" t="str">
        <x:v>v1.0.0</x:v>
      </x:c>
      <x:c r="G182" s="12" t="str">
        <x:v>Implementation-ready</x:v>
      </x:c>
    </x:row>
    <x:row r="183">
      <x:c r="A183" s="12" t="str">
        <x:v>P26-REQ-182</x:v>
      </x:c>
      <x:c r="B183" s="12" t="str">
        <x:v>Unit Price</x:v>
      </x:c>
      <x:c r="C183" s="12" t="str">
        <x:v>Must</x:v>
      </x:c>
      <x:c r="D183" s="12" t="str">
        <x:v>GrounUp shall implement governed unit price execution capability 182 using versioned Phase 25 library data, explicit quantity/production assumptions, deterministic calculation lineage, tenant security and mapped acceptance evidence.</x:v>
      </x:c>
      <x:c r="E183" s="12" t="str">
        <x:v>Capability 182 passes when inputs, library snapshot/version, formulas/rules, units, output values, rounding, scenario behavior, overrides, audit lineage and mapped tests are reproducible.</x:v>
      </x:c>
      <x:c r="F183" s="12" t="str">
        <x:v>v1.0.0</x:v>
      </x:c>
      <x:c r="G183" s="12" t="str">
        <x:v>Implementation-ready</x:v>
      </x:c>
    </x:row>
    <x:row r="184">
      <x:c r="A184" s="12" t="str">
        <x:v>P26-REQ-183</x:v>
      </x:c>
      <x:c r="B184" s="12" t="str">
        <x:v>Bid Price</x:v>
      </x:c>
      <x:c r="C184" s="12" t="str">
        <x:v>Must</x:v>
      </x:c>
      <x:c r="D184" s="12" t="str">
        <x:v>GrounUp shall implement governed bid price execution capability 183 using versioned Phase 25 library data, explicit quantity/production assumptions, deterministic calculation lineage, tenant security and mapped acceptance evidence.</x:v>
      </x:c>
      <x:c r="E184" s="12" t="str">
        <x:v>Capability 183 passes when inputs, library snapshot/version, formulas/rules, units, output values, rounding, scenario behavior, overrides, audit lineage and mapped tests are reproducible.</x:v>
      </x:c>
      <x:c r="F184" s="12" t="str">
        <x:v>v1.0.0</x:v>
      </x:c>
      <x:c r="G184" s="12" t="str">
        <x:v>Implementation-ready</x:v>
      </x:c>
    </x:row>
    <x:row r="185">
      <x:c r="A185" s="12" t="str">
        <x:v>P26-REQ-184</x:v>
      </x:c>
      <x:c r="B185" s="12" t="str">
        <x:v>Low/High Range</x:v>
      </x:c>
      <x:c r="C185" s="12" t="str">
        <x:v>Must</x:v>
      </x:c>
      <x:c r="D185" s="12" t="str">
        <x:v>GrounUp shall implement governed low/high range execution capability 184 using versioned Phase 25 library data, explicit quantity/production assumptions, deterministic calculation lineage, tenant security and mapped acceptance evidence.</x:v>
      </x:c>
      <x:c r="E185" s="12" t="str">
        <x:v>Capability 184 passes when inputs, library snapshot/version, formulas/rules, units, output values, rounding, scenario behavior, overrides, audit lineage and mapped tests are reproducible.</x:v>
      </x:c>
      <x:c r="F185" s="12" t="str">
        <x:v>v1.0.0</x:v>
      </x:c>
      <x:c r="G185" s="12" t="str">
        <x:v>Implementation-ready</x:v>
      </x:c>
    </x:row>
    <x:row r="186">
      <x:c r="A186" s="12" t="str">
        <x:v>P26-REQ-185</x:v>
      </x:c>
      <x:c r="B186" s="12" t="str">
        <x:v>Scenario Comparison</x:v>
      </x:c>
      <x:c r="C186" s="12" t="str">
        <x:v>Must</x:v>
      </x:c>
      <x:c r="D186" s="12" t="str">
        <x:v>GrounUp shall implement governed scenario comparison execution capability 185 using versioned Phase 25 library data, explicit quantity/production assumptions, deterministic calculation lineage, tenant security and mapped acceptance evidence.</x:v>
      </x:c>
      <x:c r="E186" s="12" t="str">
        <x:v>Capability 185 passes when inputs, library snapshot/version, formulas/rules, units, output values, rounding, scenario behavior, overrides, audit lineage and mapped tests are reproducible.</x:v>
      </x:c>
      <x:c r="F186" s="12" t="str">
        <x:v>v1.0.0</x:v>
      </x:c>
      <x:c r="G186" s="12" t="str">
        <x:v>Implementation-ready</x:v>
      </x:c>
    </x:row>
    <x:row r="187">
      <x:c r="A187" s="12" t="str">
        <x:v>P26-REQ-186</x:v>
      </x:c>
      <x:c r="B187" s="12" t="str">
        <x:v>Estimate Confidence</x:v>
      </x:c>
      <x:c r="C187" s="12" t="str">
        <x:v>Must</x:v>
      </x:c>
      <x:c r="D187" s="12" t="str">
        <x:v>GrounUp shall implement governed estimate confidence execution capability 186 using versioned Phase 25 library data, explicit quantity/production assumptions, deterministic calculation lineage, tenant security and mapped acceptance evidence.</x:v>
      </x:c>
      <x:c r="E187" s="12" t="str">
        <x:v>Capability 186 passes when inputs, library snapshot/version, formulas/rules, units, output values, rounding, scenario behavior, overrides, audit lineage and mapped tests are reproducible.</x:v>
      </x:c>
      <x:c r="F187" s="12" t="str">
        <x:v>v1.0.0</x:v>
      </x:c>
      <x:c r="G187" s="12" t="str">
        <x:v>Implementation-ready</x:v>
      </x:c>
    </x:row>
    <x:row r="188">
      <x:c r="A188" s="12" t="str">
        <x:v>P26-REQ-187</x:v>
      </x:c>
      <x:c r="B188" s="12" t="str">
        <x:v>Regional Pricing</x:v>
      </x:c>
      <x:c r="C188" s="12" t="str">
        <x:v>Must</x:v>
      </x:c>
      <x:c r="D188" s="12" t="str">
        <x:v>GrounUp shall implement governed regional pricing execution capability 187 using versioned Phase 25 library data, explicit quantity/production assumptions, deterministic calculation lineage, tenant security and mapped acceptance evidence.</x:v>
      </x:c>
      <x:c r="E188" s="12" t="str">
        <x:v>Capability 187 passes when inputs, library snapshot/version, formulas/rules, units, output values, rounding, scenario behavior, overrides, audit lineage and mapped tests are reproducible.</x:v>
      </x:c>
      <x:c r="F188" s="12" t="str">
        <x:v>v1.0.0</x:v>
      </x:c>
      <x:c r="G188" s="12" t="str">
        <x:v>Implementation-ready</x:v>
      </x:c>
    </x:row>
    <x:row r="189">
      <x:c r="A189" s="12" t="str">
        <x:v>P26-REQ-188</x:v>
      </x:c>
      <x:c r="B189" s="12" t="str">
        <x:v>Vendor Quote Override</x:v>
      </x:c>
      <x:c r="C189" s="12" t="str">
        <x:v>Must</x:v>
      </x:c>
      <x:c r="D189" s="12" t="str">
        <x:v>GrounUp shall implement governed vendor quote override execution capability 188 using versioned Phase 25 library data, explicit quantity/production assumptions, deterministic calculation lineage, tenant security and mapped acceptance evidence.</x:v>
      </x:c>
      <x:c r="E189" s="12" t="str">
        <x:v>Capability 188 passes when inputs, library snapshot/version, formulas/rules, units, output values, rounding, scenario behavior, overrides, audit lineage and mapped tests are reproducible.</x:v>
      </x:c>
      <x:c r="F189" s="12" t="str">
        <x:v>v1.0.0</x:v>
      </x:c>
      <x:c r="G189" s="12" t="str">
        <x:v>Implementation-ready</x:v>
      </x:c>
    </x:row>
    <x:row r="190">
      <x:c r="A190" s="12" t="str">
        <x:v>P26-REQ-189</x:v>
      </x:c>
      <x:c r="B190" s="12" t="str">
        <x:v>Snapshot Reproducibility</x:v>
      </x:c>
      <x:c r="C190" s="12" t="str">
        <x:v>Must</x:v>
      </x:c>
      <x:c r="D190" s="12" t="str">
        <x:v>GrounUp shall implement governed snapshot reproducibility execution capability 189 using versioned Phase 25 library data, explicit quantity/production assumptions, deterministic calculation lineage, tenant security and mapped acceptance evidence.</x:v>
      </x:c>
      <x:c r="E190" s="12" t="str">
        <x:v>Capability 189 passes when inputs, library snapshot/version, formulas/rules, units, output values, rounding, scenario behavior, overrides, audit lineage and mapped tests are reproducible.</x:v>
      </x:c>
      <x:c r="F190" s="12" t="str">
        <x:v>v1.0.0</x:v>
      </x:c>
      <x:c r="G190" s="12" t="str">
        <x:v>Implementation-ready</x:v>
      </x:c>
    </x:row>
    <x:row r="191">
      <x:c r="A191" s="12" t="str">
        <x:v>P26-REQ-190</x:v>
      </x:c>
      <x:c r="B191" s="12" t="str">
        <x:v>Service Catalog Writeback</x:v>
      </x:c>
      <x:c r="C191" s="12" t="str">
        <x:v>Must</x:v>
      </x:c>
      <x:c r="D191" s="12" t="str">
        <x:v>GrounUp shall implement governed service catalog writeback execution capability 190 using versioned Phase 25 library data, explicit quantity/production assumptions, deterministic calculation lineage, tenant security and mapped acceptance evidence.</x:v>
      </x:c>
      <x:c r="E191" s="12" t="str">
        <x:v>Capability 190 passes when inputs, library snapshot/version, formulas/rules, units, output values, rounding, scenario behavior, overrides, audit lineage and mapped tests are reproducible.</x:v>
      </x:c>
      <x:c r="F191" s="12" t="str">
        <x:v>v1.0.0</x:v>
      </x:c>
      <x:c r="G191" s="12" t="str">
        <x:v>Implementation-ready</x:v>
      </x:c>
    </x:row>
    <x:row r="192">
      <x:c r="A192" s="12" t="str">
        <x:v>P26-REQ-191</x:v>
      </x:c>
      <x:c r="B192" s="12" t="str">
        <x:v>AI Estimate Assist</x:v>
      </x:c>
      <x:c r="C192" s="12" t="str">
        <x:v>Must</x:v>
      </x:c>
      <x:c r="D192" s="12" t="str">
        <x:v>GrounUp shall implement governed ai estimate assist execution capability 191 using versioned Phase 25 library data, explicit quantity/production assumptions, deterministic calculation lineage, tenant security and mapped acceptance evidence.</x:v>
      </x:c>
      <x:c r="E192" s="12" t="str">
        <x:v>Capability 191 passes when inputs, library snapshot/version, formulas/rules, units, output values, rounding, scenario behavior, overrides, audit lineage and mapped tests are reproducible.</x:v>
      </x:c>
      <x:c r="F192" s="12" t="str">
        <x:v>v1.0.0</x:v>
      </x:c>
      <x:c r="G192" s="12" t="str">
        <x:v>Implementation-ready</x:v>
      </x:c>
    </x:row>
    <x:row r="193">
      <x:c r="A193" s="12" t="str">
        <x:v>P26-REQ-192</x:v>
      </x:c>
      <x:c r="B193" s="12" t="str">
        <x:v>Estimate Review &amp; Approval</x:v>
      </x:c>
      <x:c r="C193" s="12" t="str">
        <x:v>Must</x:v>
      </x:c>
      <x:c r="D193" s="12" t="str">
        <x:v>GrounUp shall implement governed estimate review &amp; approval execution capability 192 using versioned Phase 25 library data, explicit quantity/production assumptions, deterministic calculation lineage, tenant security and mapped acceptance evidence.</x:v>
      </x:c>
      <x:c r="E193" s="12" t="str">
        <x:v>Capability 192 passes when inputs, library snapshot/version, formulas/rules, units, output values, rounding, scenario behavior, overrides, audit lineage and mapped tests are reproducible.</x:v>
      </x:c>
      <x:c r="F193" s="12" t="str">
        <x:v>v1.0.0</x:v>
      </x:c>
      <x:c r="G193" s="12" t="str">
        <x:v>Implementation-ready</x:v>
      </x:c>
    </x:row>
    <x:row r="194">
      <x:c r="A194" s="12" t="str">
        <x:v>P26-REQ-193</x:v>
      </x:c>
      <x:c r="B194" s="12" t="str">
        <x:v>Estimate Export</x:v>
      </x:c>
      <x:c r="C194" s="12" t="str">
        <x:v>Must</x:v>
      </x:c>
      <x:c r="D194" s="12" t="str">
        <x:v>GrounUp shall implement governed estimate export execution capability 193 using versioned Phase 25 library data, explicit quantity/production assumptions, deterministic calculation lineage, tenant security and mapped acceptance evidence.</x:v>
      </x:c>
      <x:c r="E194" s="12" t="str">
        <x:v>Capability 193 passes when inputs, library snapshot/version, formulas/rules, units, output values, rounding, scenario behavior, overrides, audit lineage and mapped tests are reproducible.</x:v>
      </x:c>
      <x:c r="F194" s="12" t="str">
        <x:v>v1.0.0</x:v>
      </x:c>
      <x:c r="G194" s="12" t="str">
        <x:v>Implementation-ready</x:v>
      </x:c>
    </x:row>
    <x:row r="195">
      <x:c r="A195" s="12" t="str">
        <x:v>P26-REQ-194</x:v>
      </x:c>
      <x:c r="B195" s="12" t="str">
        <x:v>Proposal Handoff</x:v>
      </x:c>
      <x:c r="C195" s="12" t="str">
        <x:v>Must</x:v>
      </x:c>
      <x:c r="D195" s="12" t="str">
        <x:v>GrounUp shall implement governed proposal handoff execution capability 194 using versioned Phase 25 library data, explicit quantity/production assumptions, deterministic calculation lineage, tenant security and mapped acceptance evidence.</x:v>
      </x:c>
      <x:c r="E195" s="12" t="str">
        <x:v>Capability 194 passes when inputs, library snapshot/version, formulas/rules, units, output values, rounding, scenario behavior, overrides, audit lineage and mapped tests are reproducible.</x:v>
      </x:c>
      <x:c r="F195" s="12" t="str">
        <x:v>v1.0.0</x:v>
      </x:c>
      <x:c r="G195" s="12" t="str">
        <x:v>Implementation-ready</x:v>
      </x:c>
    </x:row>
    <x:row r="196">
      <x:c r="A196" s="12" t="str">
        <x:v>P26-REQ-195</x:v>
      </x:c>
      <x:c r="B196" s="12" t="str">
        <x:v>Job Cost Baseline</x:v>
      </x:c>
      <x:c r="C196" s="12" t="str">
        <x:v>Must</x:v>
      </x:c>
      <x:c r="D196" s="12" t="str">
        <x:v>GrounUp shall implement governed job cost baseline execution capability 195 using versioned Phase 25 library data, explicit quantity/production assumptions, deterministic calculation lineage, tenant security and mapped acceptance evidence.</x:v>
      </x:c>
      <x:c r="E196" s="12" t="str">
        <x:v>Capability 195 passes when inputs, library snapshot/version, formulas/rules, units, output values, rounding, scenario behavior, overrides, audit lineage and mapped tests are reproducible.</x:v>
      </x:c>
      <x:c r="F196" s="12" t="str">
        <x:v>v1.0.0</x:v>
      </x:c>
      <x:c r="G196" s="12" t="str">
        <x:v>Implementation-ready</x:v>
      </x:c>
    </x:row>
    <x:row r="197">
      <x:c r="A197" s="12" t="str">
        <x:v>P26-REQ-196</x:v>
      </x:c>
      <x:c r="B197" s="12" t="str">
        <x:v>Audit &amp; Traceability</x:v>
      </x:c>
      <x:c r="C197" s="12" t="str">
        <x:v>Must</x:v>
      </x:c>
      <x:c r="D197" s="12" t="str">
        <x:v>GrounUp shall implement governed audit &amp; traceability execution capability 196 using versioned Phase 25 library data, explicit quantity/production assumptions, deterministic calculation lineage, tenant security and mapped acceptance evidence.</x:v>
      </x:c>
      <x:c r="E197" s="12" t="str">
        <x:v>Capability 196 passes when inputs, library snapshot/version, formulas/rules, units, output values, rounding, scenario behavior, overrides, audit lineage and mapped tests are reproducible.</x:v>
      </x:c>
      <x:c r="F197" s="12" t="str">
        <x:v>v1.0.0</x:v>
      </x:c>
      <x:c r="G197" s="12" t="str">
        <x:v>Implementation-ready</x:v>
      </x:c>
    </x:row>
    <x:row r="198">
      <x:c r="A198" s="12" t="str">
        <x:v>P26-REQ-197</x:v>
      </x:c>
      <x:c r="B198" s="12" t="str">
        <x:v>Estimate Lifecycle</x:v>
      </x:c>
      <x:c r="C198" s="12" t="str">
        <x:v>Must</x:v>
      </x:c>
      <x:c r="D198" s="12" t="str">
        <x:v>GrounUp shall implement governed estimate lifecycle execution capability 197 using versioned Phase 25 library data, explicit quantity/production assumptions, deterministic calculation lineage, tenant security and mapped acceptance evidence.</x:v>
      </x:c>
      <x:c r="E198" s="12" t="str">
        <x:v>Capability 197 passes when inputs, library snapshot/version, formulas/rules, units, output values, rounding, scenario behavior, overrides, audit lineage and mapped tests are reproducible.</x:v>
      </x:c>
      <x:c r="F198" s="12" t="str">
        <x:v>v1.0.0</x:v>
      </x:c>
      <x:c r="G198" s="12" t="str">
        <x:v>Implementation-ready</x:v>
      </x:c>
    </x:row>
    <x:row r="199">
      <x:c r="A199" s="12" t="str">
        <x:v>P26-REQ-198</x:v>
      </x:c>
      <x:c r="B199" s="12" t="str">
        <x:v>Estimate Versions</x:v>
      </x:c>
      <x:c r="C199" s="12" t="str">
        <x:v>Must</x:v>
      </x:c>
      <x:c r="D199" s="12" t="str">
        <x:v>GrounUp shall implement governed estimate versions execution capability 198 using versioned Phase 25 library data, explicit quantity/production assumptions, deterministic calculation lineage, tenant security and mapped acceptance evidence.</x:v>
      </x:c>
      <x:c r="E199" s="12" t="str">
        <x:v>Capability 198 passes when inputs, library snapshot/version, formulas/rules, units, output values, rounding, scenario behavior, overrides, audit lineage and mapped tests are reproducible.</x:v>
      </x:c>
      <x:c r="F199" s="12" t="str">
        <x:v>v1.0.0</x:v>
      </x:c>
      <x:c r="G199" s="12" t="str">
        <x:v>Implementation-ready</x:v>
      </x:c>
    </x:row>
    <x:row r="200">
      <x:c r="A200" s="12" t="str">
        <x:v>P26-REQ-199</x:v>
      </x:c>
      <x:c r="B200" s="12" t="str">
        <x:v>Estimate Templates</x:v>
      </x:c>
      <x:c r="C200" s="12" t="str">
        <x:v>Must</x:v>
      </x:c>
      <x:c r="D200" s="12" t="str">
        <x:v>GrounUp shall implement governed estimate templates execution capability 199 using versioned Phase 25 library data, explicit quantity/production assumptions, deterministic calculation lineage, tenant security and mapped acceptance evidence.</x:v>
      </x:c>
      <x:c r="E200" s="12" t="str">
        <x:v>Capability 199 passes when inputs, library snapshot/version, formulas/rules, units, output values, rounding, scenario behavior, overrides, audit lineage and mapped tests are reproducible.</x:v>
      </x:c>
      <x:c r="F200" s="12" t="str">
        <x:v>v1.0.0</x:v>
      </x:c>
      <x:c r="G200" s="12" t="str">
        <x:v>Implementation-ready</x:v>
      </x:c>
    </x:row>
    <x:row r="201">
      <x:c r="A201" s="12" t="str">
        <x:v>P26-REQ-200</x:v>
      </x:c>
      <x:c r="B201" s="12" t="str">
        <x:v>Service Selection</x:v>
      </x:c>
      <x:c r="C201" s="12" t="str">
        <x:v>Must</x:v>
      </x:c>
      <x:c r="D201" s="12" t="str">
        <x:v>GrounUp shall implement governed service selection execution capability 200 using versioned Phase 25 library data, explicit quantity/production assumptions, deterministic calculation lineage, tenant security and mapped acceptance evidence.</x:v>
      </x:c>
      <x:c r="E201" s="12" t="str">
        <x:v>Capability 200 passes when inputs, library snapshot/version, formulas/rules, units, output values, rounding, scenario behavior, overrides, audit lineage and mapped tests are reproducible.</x:v>
      </x:c>
      <x:c r="F201" s="12" t="str">
        <x:v>v1.0.0</x:v>
      </x:c>
      <x:c r="G201" s="12" t="str">
        <x:v>Implementation-ready</x:v>
      </x:c>
    </x:row>
    <x:row r="202">
      <x:c r="A202" s="12" t="str">
        <x:v>P26-REQ-201</x:v>
      </x:c>
      <x:c r="B202" s="12" t="str">
        <x:v>Assembly Expansion</x:v>
      </x:c>
      <x:c r="C202" s="12" t="str">
        <x:v>Must</x:v>
      </x:c>
      <x:c r="D202" s="12" t="str">
        <x:v>GrounUp shall implement governed assembly expansion execution capability 201 using versioned Phase 25 library data, explicit quantity/production assumptions, deterministic calculation lineage, tenant security and mapped acceptance evidence.</x:v>
      </x:c>
      <x:c r="E202" s="12" t="str">
        <x:v>Capability 201 passes when inputs, library snapshot/version, formulas/rules, units, output values, rounding, scenario behavior, overrides, audit lineage and mapped tests are reproducible.</x:v>
      </x:c>
      <x:c r="F202" s="12" t="str">
        <x:v>v1.0.0</x:v>
      </x:c>
      <x:c r="G202" s="12" t="str">
        <x:v>Implementation-ready</x:v>
      </x:c>
    </x:row>
    <x:row r="203">
      <x:c r="A203" s="12" t="str">
        <x:v>P26-REQ-202</x:v>
      </x:c>
      <x:c r="B203" s="12" t="str">
        <x:v>Quantity Input</x:v>
      </x:c>
      <x:c r="C203" s="12" t="str">
        <x:v>Must</x:v>
      </x:c>
      <x:c r="D203" s="12" t="str">
        <x:v>GrounUp shall implement governed quantity input execution capability 202 using versioned Phase 25 library data, explicit quantity/production assumptions, deterministic calculation lineage, tenant security and mapped acceptance evidence.</x:v>
      </x:c>
      <x:c r="E203" s="12" t="str">
        <x:v>Capability 202 passes when inputs, library snapshot/version, formulas/rules, units, output values, rounding, scenario behavior, overrides, audit lineage and mapped tests are reproducible.</x:v>
      </x:c>
      <x:c r="F203" s="12" t="str">
        <x:v>v1.0.0</x:v>
      </x:c>
      <x:c r="G203" s="12" t="str">
        <x:v>Implementation-ready</x:v>
      </x:c>
    </x:row>
    <x:row r="204">
      <x:c r="A204" s="12" t="str">
        <x:v>P26-REQ-203</x:v>
      </x:c>
      <x:c r="B204" s="12" t="str">
        <x:v>Quantity Takeoff Intake</x:v>
      </x:c>
      <x:c r="C204" s="12" t="str">
        <x:v>Must</x:v>
      </x:c>
      <x:c r="D204" s="12" t="str">
        <x:v>GrounUp shall implement governed quantity takeoff intake execution capability 203 using versioned Phase 25 library data, explicit quantity/production assumptions, deterministic calculation lineage, tenant security and mapped acceptance evidence.</x:v>
      </x:c>
      <x:c r="E204" s="12" t="str">
        <x:v>Capability 203 passes when inputs, library snapshot/version, formulas/rules, units, output values, rounding, scenario behavior, overrides, audit lineage and mapped tests are reproducible.</x:v>
      </x:c>
      <x:c r="F204" s="12" t="str">
        <x:v>v1.0.0</x:v>
      </x:c>
      <x:c r="G204" s="12" t="str">
        <x:v>Implementation-ready</x:v>
      </x:c>
    </x:row>
    <x:row r="205">
      <x:c r="A205" s="12" t="str">
        <x:v>P26-REQ-204</x:v>
      </x:c>
      <x:c r="B205" s="12" t="str">
        <x:v>Labor Cost</x:v>
      </x:c>
      <x:c r="C205" s="12" t="str">
        <x:v>Must</x:v>
      </x:c>
      <x:c r="D205" s="12" t="str">
        <x:v>GrounUp shall implement governed labor cost execution capability 204 using versioned Phase 25 library data, explicit quantity/production assumptions, deterministic calculation lineage, tenant security and mapped acceptance evidence.</x:v>
      </x:c>
      <x:c r="E205" s="12" t="str">
        <x:v>Capability 204 passes when inputs, library snapshot/version, formulas/rules, units, output values, rounding, scenario behavior, overrides, audit lineage and mapped tests are reproducible.</x:v>
      </x:c>
      <x:c r="F205" s="12" t="str">
        <x:v>v1.0.0</x:v>
      </x:c>
      <x:c r="G205" s="12" t="str">
        <x:v>Implementation-ready</x:v>
      </x:c>
    </x:row>
    <x:row r="206">
      <x:c r="A206" s="12" t="str">
        <x:v>P26-REQ-205</x:v>
      </x:c>
      <x:c r="B206" s="12" t="str">
        <x:v>Labor Burden</x:v>
      </x:c>
      <x:c r="C206" s="12" t="str">
        <x:v>Must</x:v>
      </x:c>
      <x:c r="D206" s="12" t="str">
        <x:v>GrounUp shall implement governed labor burden execution capability 205 using versioned Phase 25 library data, explicit quantity/production assumptions, deterministic calculation lineage, tenant security and mapped acceptance evidence.</x:v>
      </x:c>
      <x:c r="E206" s="12" t="str">
        <x:v>Capability 205 passes when inputs, library snapshot/version, formulas/rules, units, output values, rounding, scenario behavior, overrides, audit lineage and mapped tests are reproducible.</x:v>
      </x:c>
      <x:c r="F206" s="12" t="str">
        <x:v>v1.0.0</x:v>
      </x:c>
      <x:c r="G206" s="12" t="str">
        <x:v>Implementation-ready</x:v>
      </x:c>
    </x:row>
    <x:row r="207">
      <x:c r="A207" s="12" t="str">
        <x:v>P26-REQ-206</x:v>
      </x:c>
      <x:c r="B207" s="12" t="str">
        <x:v>Crew Composition</x:v>
      </x:c>
      <x:c r="C207" s="12" t="str">
        <x:v>Must</x:v>
      </x:c>
      <x:c r="D207" s="12" t="str">
        <x:v>GrounUp shall implement governed crew composition execution capability 206 using versioned Phase 25 library data, explicit quantity/production assumptions, deterministic calculation lineage, tenant security and mapped acceptance evidence.</x:v>
      </x:c>
      <x:c r="E207" s="12" t="str">
        <x:v>Capability 206 passes when inputs, library snapshot/version, formulas/rules, units, output values, rounding, scenario behavior, overrides, audit lineage and mapped tests are reproducible.</x:v>
      </x:c>
      <x:c r="F207" s="12" t="str">
        <x:v>v1.0.0</x:v>
      </x:c>
      <x:c r="G207" s="12" t="str">
        <x:v>Implementation-ready</x:v>
      </x:c>
    </x:row>
    <x:row r="208">
      <x:c r="A208" s="12" t="str">
        <x:v>P26-REQ-207</x:v>
      </x:c>
      <x:c r="B208" s="12" t="str">
        <x:v>Crew Size Recommendation</x:v>
      </x:c>
      <x:c r="C208" s="12" t="str">
        <x:v>Must</x:v>
      </x:c>
      <x:c r="D208" s="12" t="str">
        <x:v>GrounUp shall implement governed crew size recommendation execution capability 207 using versioned Phase 25 library data, explicit quantity/production assumptions, deterministic calculation lineage, tenant security and mapped acceptance evidence.</x:v>
      </x:c>
      <x:c r="E208" s="12" t="str">
        <x:v>Capability 207 passes when inputs, library snapshot/version, formulas/rules, units, output values, rounding, scenario behavior, overrides, audit lineage and mapped tests are reproducible.</x:v>
      </x:c>
      <x:c r="F208" s="12" t="str">
        <x:v>v1.0.0</x:v>
      </x:c>
      <x:c r="G208" s="12" t="str">
        <x:v>Implementation-ready</x:v>
      </x:c>
    </x:row>
    <x:row r="209">
      <x:c r="A209" s="12" t="str">
        <x:v>P26-REQ-208</x:v>
      </x:c>
      <x:c r="B209" s="12" t="str">
        <x:v>Equipment Selection</x:v>
      </x:c>
      <x:c r="C209" s="12" t="str">
        <x:v>Must</x:v>
      </x:c>
      <x:c r="D209" s="12" t="str">
        <x:v>GrounUp shall implement governed equipment selection execution capability 208 using versioned Phase 25 library data, explicit quantity/production assumptions, deterministic calculation lineage, tenant security and mapped acceptance evidence.</x:v>
      </x:c>
      <x:c r="E209" s="12" t="str">
        <x:v>Capability 208 passes when inputs, library snapshot/version, formulas/rules, units, output values, rounding, scenario behavior, overrides, audit lineage and mapped tests are reproducible.</x:v>
      </x:c>
      <x:c r="F209" s="12" t="str">
        <x:v>v1.0.0</x:v>
      </x:c>
      <x:c r="G209" s="12" t="str">
        <x:v>Implementation-ready</x:v>
      </x:c>
    </x:row>
    <x:row r="210">
      <x:c r="A210" s="12" t="str">
        <x:v>P26-REQ-209</x:v>
      </x:c>
      <x:c r="B210" s="12" t="str">
        <x:v>Equipment Cost</x:v>
      </x:c>
      <x:c r="C210" s="12" t="str">
        <x:v>Must</x:v>
      </x:c>
      <x:c r="D210" s="12" t="str">
        <x:v>GrounUp shall implement governed equipment cost execution capability 209 using versioned Phase 25 library data, explicit quantity/production assumptions, deterministic calculation lineage, tenant security and mapped acceptance evidence.</x:v>
      </x:c>
      <x:c r="E210" s="12" t="str">
        <x:v>Capability 209 passes when inputs, library snapshot/version, formulas/rules, units, output values, rounding, scenario behavior, overrides, audit lineage and mapped tests are reproducible.</x:v>
      </x:c>
      <x:c r="F210" s="12" t="str">
        <x:v>v1.0.0</x:v>
      </x:c>
      <x:c r="G210" s="12" t="str">
        <x:v>Implementation-ready</x:v>
      </x:c>
    </x:row>
    <x:row r="211">
      <x:c r="A211" s="12" t="str">
        <x:v>P26-REQ-210</x:v>
      </x:c>
      <x:c r="B211" s="12" t="str">
        <x:v>Equipment Rate Selection</x:v>
      </x:c>
      <x:c r="C211" s="12" t="str">
        <x:v>Must</x:v>
      </x:c>
      <x:c r="D211" s="12" t="str">
        <x:v>GrounUp shall implement governed equipment rate selection execution capability 210 using versioned Phase 25 library data, explicit quantity/production assumptions, deterministic calculation lineage, tenant security and mapped acceptance evidence.</x:v>
      </x:c>
      <x:c r="E211" s="12" t="str">
        <x:v>Capability 210 passes when inputs, library snapshot/version, formulas/rules, units, output values, rounding, scenario behavior, overrides, audit lineage and mapped tests are reproducible.</x:v>
      </x:c>
      <x:c r="F211" s="12" t="str">
        <x:v>v1.0.0</x:v>
      </x:c>
      <x:c r="G211" s="12" t="str">
        <x:v>Implementation-ready</x:v>
      </x:c>
    </x:row>
    <x:row r="212">
      <x:c r="A212" s="12" t="str">
        <x:v>P26-REQ-211</x:v>
      </x:c>
      <x:c r="B212" s="12" t="str">
        <x:v>Fuel Consumption</x:v>
      </x:c>
      <x:c r="C212" s="12" t="str">
        <x:v>Must</x:v>
      </x:c>
      <x:c r="D212" s="12" t="str">
        <x:v>GrounUp shall implement governed fuel consumption execution capability 211 using versioned Phase 25 library data, explicit quantity/production assumptions, deterministic calculation lineage, tenant security and mapped acceptance evidence.</x:v>
      </x:c>
      <x:c r="E212" s="12" t="str">
        <x:v>Capability 211 passes when inputs, library snapshot/version, formulas/rules, units, output values, rounding, scenario behavior, overrides, audit lineage and mapped tests are reproducible.</x:v>
      </x:c>
      <x:c r="F212" s="12" t="str">
        <x:v>v1.0.0</x:v>
      </x:c>
      <x:c r="G212" s="12" t="str">
        <x:v>Implementation-ready</x:v>
      </x:c>
    </x:row>
    <x:row r="213">
      <x:c r="A213" s="12" t="str">
        <x:v>P26-REQ-212</x:v>
      </x:c>
      <x:c r="B213" s="12" t="str">
        <x:v>Truck Selection</x:v>
      </x:c>
      <x:c r="C213" s="12" t="str">
        <x:v>Must</x:v>
      </x:c>
      <x:c r="D213" s="12" t="str">
        <x:v>GrounUp shall implement governed truck selection execution capability 212 using versioned Phase 25 library data, explicit quantity/production assumptions, deterministic calculation lineage, tenant security and mapped acceptance evidence.</x:v>
      </x:c>
      <x:c r="E213" s="12" t="str">
        <x:v>Capability 212 passes when inputs, library snapshot/version, formulas/rules, units, output values, rounding, scenario behavior, overrides, audit lineage and mapped tests are reproducible.</x:v>
      </x:c>
      <x:c r="F213" s="12" t="str">
        <x:v>v1.0.0</x:v>
      </x:c>
      <x:c r="G213" s="12" t="str">
        <x:v>Implementation-ready</x:v>
      </x:c>
    </x:row>
    <x:row r="214">
      <x:c r="A214" s="12" t="str">
        <x:v>P26-REQ-213</x:v>
      </x:c>
      <x:c r="B214" s="12" t="str">
        <x:v>Truck Cycle Calculation</x:v>
      </x:c>
      <x:c r="C214" s="12" t="str">
        <x:v>Must</x:v>
      </x:c>
      <x:c r="D214" s="12" t="str">
        <x:v>GrounUp shall implement governed truck cycle calculation execution capability 213 using versioned Phase 25 library data, explicit quantity/production assumptions, deterministic calculation lineage, tenant security and mapped acceptance evidence.</x:v>
      </x:c>
      <x:c r="E214" s="12" t="str">
        <x:v>Capability 213 passes when inputs, library snapshot/version, formulas/rules, units, output values, rounding, scenario behavior, overrides, audit lineage and mapped tests are reproducible.</x:v>
      </x:c>
      <x:c r="F214" s="12" t="str">
        <x:v>v1.0.0</x:v>
      </x:c>
      <x:c r="G214" s="12" t="str">
        <x:v>Implementation-ready</x:v>
      </x:c>
    </x:row>
    <x:row r="215">
      <x:c r="A215" s="12" t="str">
        <x:v>P26-REQ-214</x:v>
      </x:c>
      <x:c r="B215" s="12" t="str">
        <x:v>Truck Count</x:v>
      </x:c>
      <x:c r="C215" s="12" t="str">
        <x:v>Must</x:v>
      </x:c>
      <x:c r="D215" s="12" t="str">
        <x:v>GrounUp shall implement governed truck count execution capability 214 using versioned Phase 25 library data, explicit quantity/production assumptions, deterministic calculation lineage, tenant security and mapped acceptance evidence.</x:v>
      </x:c>
      <x:c r="E215" s="12" t="str">
        <x:v>Capability 214 passes when inputs, library snapshot/version, formulas/rules, units, output values, rounding, scenario behavior, overrides, audit lineage and mapped tests are reproducible.</x:v>
      </x:c>
      <x:c r="F215" s="12" t="str">
        <x:v>v1.0.0</x:v>
      </x:c>
      <x:c r="G215" s="12" t="str">
        <x:v>Implementation-ready</x:v>
      </x:c>
    </x:row>
    <x:row r="216">
      <x:c r="A216" s="12" t="str">
        <x:v>P26-REQ-215</x:v>
      </x:c>
      <x:c r="B216" s="12" t="str">
        <x:v>Haul Distance</x:v>
      </x:c>
      <x:c r="C216" s="12" t="str">
        <x:v>Must</x:v>
      </x:c>
      <x:c r="D216" s="12" t="str">
        <x:v>GrounUp shall implement governed haul distance execution capability 215 using versioned Phase 25 library data, explicit quantity/production assumptions, deterministic calculation lineage, tenant security and mapped acceptance evidence.</x:v>
      </x:c>
      <x:c r="E216" s="12" t="str">
        <x:v>Capability 215 passes when inputs, library snapshot/version, formulas/rules, units, output values, rounding, scenario behavior, overrides, audit lineage and mapped tests are reproducible.</x:v>
      </x:c>
      <x:c r="F216" s="12" t="str">
        <x:v>v1.0.0</x:v>
      </x:c>
      <x:c r="G216" s="12" t="str">
        <x:v>Implementation-ready</x:v>
      </x:c>
    </x:row>
    <x:row r="217">
      <x:c r="A217" s="12" t="str">
        <x:v>P26-REQ-216</x:v>
      </x:c>
      <x:c r="B217" s="12" t="str">
        <x:v>Disposal Cost</x:v>
      </x:c>
      <x:c r="C217" s="12" t="str">
        <x:v>Must</x:v>
      </x:c>
      <x:c r="D217" s="12" t="str">
        <x:v>GrounUp shall implement governed disposal cost execution capability 216 using versioned Phase 25 library data, explicit quantity/production assumptions, deterministic calculation lineage, tenant security and mapped acceptance evidence.</x:v>
      </x:c>
      <x:c r="E217" s="12" t="str">
        <x:v>Capability 216 passes when inputs, library snapshot/version, formulas/rules, units, output values, rounding, scenario behavior, overrides, audit lineage and mapped tests are reproducible.</x:v>
      </x:c>
      <x:c r="F217" s="12" t="str">
        <x:v>v1.0.0</x:v>
      </x:c>
      <x:c r="G217" s="12" t="str">
        <x:v>Implementation-ready</x:v>
      </x:c>
    </x:row>
    <x:row r="218">
      <x:c r="A218" s="12" t="str">
        <x:v>P26-REQ-217</x:v>
      </x:c>
      <x:c r="B218" s="12" t="str">
        <x:v>Material Cost</x:v>
      </x:c>
      <x:c r="C218" s="12" t="str">
        <x:v>Must</x:v>
      </x:c>
      <x:c r="D218" s="12" t="str">
        <x:v>GrounUp shall implement governed material cost execution capability 217 using versioned Phase 25 library data, explicit quantity/production assumptions, deterministic calculation lineage, tenant security and mapped acceptance evidence.</x:v>
      </x:c>
      <x:c r="E218" s="12" t="str">
        <x:v>Capability 217 passes when inputs, library snapshot/version, formulas/rules, units, output values, rounding, scenario behavior, overrides, audit lineage and mapped tests are reproducible.</x:v>
      </x:c>
      <x:c r="F218" s="12" t="str">
        <x:v>v1.0.0</x:v>
      </x:c>
      <x:c r="G218" s="12" t="str">
        <x:v>Implementation-ready</x:v>
      </x:c>
    </x:row>
    <x:row r="219">
      <x:c r="A219" s="12" t="str">
        <x:v>P26-REQ-218</x:v>
      </x:c>
      <x:c r="B219" s="12" t="str">
        <x:v>Material Waste</x:v>
      </x:c>
      <x:c r="C219" s="12" t="str">
        <x:v>Must</x:v>
      </x:c>
      <x:c r="D219" s="12" t="str">
        <x:v>GrounUp shall implement governed material waste execution capability 218 using versioned Phase 25 library data, explicit quantity/production assumptions, deterministic calculation lineage, tenant security and mapped acceptance evidence.</x:v>
      </x:c>
      <x:c r="E219" s="12" t="str">
        <x:v>Capability 218 passes when inputs, library snapshot/version, formulas/rules, units, output values, rounding, scenario behavior, overrides, audit lineage and mapped tests are reproducible.</x:v>
      </x:c>
      <x:c r="F219" s="12" t="str">
        <x:v>v1.0.0</x:v>
      </x:c>
      <x:c r="G219" s="12" t="str">
        <x:v>Implementation-ready</x:v>
      </x:c>
    </x:row>
    <x:row r="220">
      <x:c r="A220" s="12" t="str">
        <x:v>P26-REQ-219</x:v>
      </x:c>
      <x:c r="B220" s="12" t="str">
        <x:v>Subcontract Cost</x:v>
      </x:c>
      <x:c r="C220" s="12" t="str">
        <x:v>Must</x:v>
      </x:c>
      <x:c r="D220" s="12" t="str">
        <x:v>GrounUp shall implement governed subcontract cost execution capability 219 using versioned Phase 25 library data, explicit quantity/production assumptions, deterministic calculation lineage, tenant security and mapped acceptance evidence.</x:v>
      </x:c>
      <x:c r="E220" s="12" t="str">
        <x:v>Capability 219 passes when inputs, library snapshot/version, formulas/rules, units, output values, rounding, scenario behavior, overrides, audit lineage and mapped tests are reproducible.</x:v>
      </x:c>
      <x:c r="F220" s="12" t="str">
        <x:v>v1.0.0</x:v>
      </x:c>
      <x:c r="G220" s="12" t="str">
        <x:v>Implementation-ready</x:v>
      </x:c>
    </x:row>
    <x:row r="221">
      <x:c r="A221" s="12" t="str">
        <x:v>P26-REQ-220</x:v>
      </x:c>
      <x:c r="B221" s="12" t="str">
        <x:v>Production Rate</x:v>
      </x:c>
      <x:c r="C221" s="12" t="str">
        <x:v>Must</x:v>
      </x:c>
      <x:c r="D221" s="12" t="str">
        <x:v>GrounUp shall implement governed production rate execution capability 220 using versioned Phase 25 library data, explicit quantity/production assumptions, deterministic calculation lineage, tenant security and mapped acceptance evidence.</x:v>
      </x:c>
      <x:c r="E221" s="12" t="str">
        <x:v>Capability 220 passes when inputs, library snapshot/version, formulas/rules, units, output values, rounding, scenario behavior, overrides, audit lineage and mapped tests are reproducible.</x:v>
      </x:c>
      <x:c r="F221" s="12" t="str">
        <x:v>v1.0.0</x:v>
      </x:c>
      <x:c r="G221" s="12" t="str">
        <x:v>Implementation-ready</x:v>
      </x:c>
    </x:row>
    <x:row r="222">
      <x:c r="A222" s="12" t="str">
        <x:v>P26-REQ-221</x:v>
      </x:c>
      <x:c r="B222" s="12" t="str">
        <x:v>Production Modifiers</x:v>
      </x:c>
      <x:c r="C222" s="12" t="str">
        <x:v>Must</x:v>
      </x:c>
      <x:c r="D222" s="12" t="str">
        <x:v>GrounUp shall implement governed production modifiers execution capability 221 using versioned Phase 25 library data, explicit quantity/production assumptions, deterministic calculation lineage, tenant security and mapped acceptance evidence.</x:v>
      </x:c>
      <x:c r="E222" s="12" t="str">
        <x:v>Capability 221 passes when inputs, library snapshot/version, formulas/rules, units, output values, rounding, scenario behavior, overrides, audit lineage and mapped tests are reproducible.</x:v>
      </x:c>
      <x:c r="F222" s="12" t="str">
        <x:v>v1.0.0</x:v>
      </x:c>
      <x:c r="G222" s="12" t="str">
        <x:v>Implementation-ready</x:v>
      </x:c>
    </x:row>
    <x:row r="223">
      <x:c r="A223" s="12" t="str">
        <x:v>P26-REQ-222</x:v>
      </x:c>
      <x:c r="B223" s="12" t="str">
        <x:v>Duration Calculation</x:v>
      </x:c>
      <x:c r="C223" s="12" t="str">
        <x:v>Must</x:v>
      </x:c>
      <x:c r="D223" s="12" t="str">
        <x:v>GrounUp shall implement governed duration calculation execution capability 222 using versioned Phase 25 library data, explicit quantity/production assumptions, deterministic calculation lineage, tenant security and mapped acceptance evidence.</x:v>
      </x:c>
      <x:c r="E223" s="12" t="str">
        <x:v>Capability 222 passes when inputs, library snapshot/version, formulas/rules, units, output values, rounding, scenario behavior, overrides, audit lineage and mapped tests are reproducible.</x:v>
      </x:c>
      <x:c r="F223" s="12" t="str">
        <x:v>v1.0.0</x:v>
      </x:c>
      <x:c r="G223" s="12" t="str">
        <x:v>Implementation-ready</x:v>
      </x:c>
    </x:row>
    <x:row r="224">
      <x:c r="A224" s="12" t="str">
        <x:v>P26-REQ-223</x:v>
      </x:c>
      <x:c r="B224" s="12" t="str">
        <x:v>Work Hours &amp; Shifts</x:v>
      </x:c>
      <x:c r="C224" s="12" t="str">
        <x:v>Must</x:v>
      </x:c>
      <x:c r="D224" s="12" t="str">
        <x:v>GrounUp shall implement governed work hours &amp; shifts execution capability 223 using versioned Phase 25 library data, explicit quantity/production assumptions, deterministic calculation lineage, tenant security and mapped acceptance evidence.</x:v>
      </x:c>
      <x:c r="E224" s="12" t="str">
        <x:v>Capability 223 passes when inputs, library snapshot/version, formulas/rules, units, output values, rounding, scenario behavior, overrides, audit lineage and mapped tests are reproducible.</x:v>
      </x:c>
      <x:c r="F224" s="12" t="str">
        <x:v>v1.0.0</x:v>
      </x:c>
      <x:c r="G224" s="12" t="str">
        <x:v>Implementation-ready</x:v>
      </x:c>
    </x:row>
    <x:row r="225">
      <x:c r="A225" s="12" t="str">
        <x:v>P26-REQ-224</x:v>
      </x:c>
      <x:c r="B225" s="12" t="str">
        <x:v>Mobilization</x:v>
      </x:c>
      <x:c r="C225" s="12" t="str">
        <x:v>Must</x:v>
      </x:c>
      <x:c r="D225" s="12" t="str">
        <x:v>GrounUp shall implement governed mobilization execution capability 224 using versioned Phase 25 library data, explicit quantity/production assumptions, deterministic calculation lineage, tenant security and mapped acceptance evidence.</x:v>
      </x:c>
      <x:c r="E225" s="12" t="str">
        <x:v>Capability 224 passes when inputs, library snapshot/version, formulas/rules, units, output values, rounding, scenario behavior, overrides, audit lineage and mapped tests are reproducible.</x:v>
      </x:c>
      <x:c r="F225" s="12" t="str">
        <x:v>v1.0.0</x:v>
      </x:c>
      <x:c r="G225" s="12" t="str">
        <x:v>Implementation-ready</x:v>
      </x:c>
    </x:row>
    <x:row r="226">
      <x:c r="A226" s="12" t="str">
        <x:v>P26-REQ-225</x:v>
      </x:c>
      <x:c r="B226" s="12" t="str">
        <x:v>Demobilization</x:v>
      </x:c>
      <x:c r="C226" s="12" t="str">
        <x:v>Must</x:v>
      </x:c>
      <x:c r="D226" s="12" t="str">
        <x:v>GrounUp shall implement governed demobilization execution capability 225 using versioned Phase 25 library data, explicit quantity/production assumptions, deterministic calculation lineage, tenant security and mapped acceptance evidence.</x:v>
      </x:c>
      <x:c r="E226" s="12" t="str">
        <x:v>Capability 225 passes when inputs, library snapshot/version, formulas/rules, units, output values, rounding, scenario behavior, overrides, audit lineage and mapped tests are reproducible.</x:v>
      </x:c>
      <x:c r="F226" s="12" t="str">
        <x:v>v1.0.0</x:v>
      </x:c>
      <x:c r="G226" s="12" t="str">
        <x:v>Implementation-ready</x:v>
      </x:c>
    </x:row>
    <x:row r="227">
      <x:c r="A227" s="12" t="str">
        <x:v>P26-REQ-226</x:v>
      </x:c>
      <x:c r="B227" s="12" t="str">
        <x:v>Indirect Costs</x:v>
      </x:c>
      <x:c r="C227" s="12" t="str">
        <x:v>Must</x:v>
      </x:c>
      <x:c r="D227" s="12" t="str">
        <x:v>GrounUp shall implement governed indirect costs execution capability 226 using versioned Phase 25 library data, explicit quantity/production assumptions, deterministic calculation lineage, tenant security and mapped acceptance evidence.</x:v>
      </x:c>
      <x:c r="E227" s="12" t="str">
        <x:v>Capability 226 passes when inputs, library snapshot/version, formulas/rules, units, output values, rounding, scenario behavior, overrides, audit lineage and mapped tests are reproducible.</x:v>
      </x:c>
      <x:c r="F227" s="12" t="str">
        <x:v>v1.0.0</x:v>
      </x:c>
      <x:c r="G227" s="12" t="str">
        <x:v>Implementation-ready</x:v>
      </x:c>
    </x:row>
    <x:row r="228">
      <x:c r="A228" s="12" t="str">
        <x:v>P26-REQ-227</x:v>
      </x:c>
      <x:c r="B228" s="12" t="str">
        <x:v>Contingency</x:v>
      </x:c>
      <x:c r="C228" s="12" t="str">
        <x:v>Must</x:v>
      </x:c>
      <x:c r="D228" s="12" t="str">
        <x:v>GrounUp shall implement governed contingency execution capability 227 using versioned Phase 25 library data, explicit quantity/production assumptions, deterministic calculation lineage, tenant security and mapped acceptance evidence.</x:v>
      </x:c>
      <x:c r="E228" s="12" t="str">
        <x:v>Capability 227 passes when inputs, library snapshot/version, formulas/rules, units, output values, rounding, scenario behavior, overrides, audit lineage and mapped tests are reproducible.</x:v>
      </x:c>
      <x:c r="F228" s="12" t="str">
        <x:v>v1.0.0</x:v>
      </x:c>
      <x:c r="G228" s="12" t="str">
        <x:v>Implementation-ready</x:v>
      </x:c>
    </x:row>
    <x:row r="229">
      <x:c r="A229" s="12" t="str">
        <x:v>P26-REQ-228</x:v>
      </x:c>
      <x:c r="B229" s="12" t="str">
        <x:v>Markup</x:v>
      </x:c>
      <x:c r="C229" s="12" t="str">
        <x:v>Must</x:v>
      </x:c>
      <x:c r="D229" s="12" t="str">
        <x:v>GrounUp shall implement governed markup execution capability 228 using versioned Phase 25 library data, explicit quantity/production assumptions, deterministic calculation lineage, tenant security and mapped acceptance evidence.</x:v>
      </x:c>
      <x:c r="E229" s="12" t="str">
        <x:v>Capability 228 passes when inputs, library snapshot/version, formulas/rules, units, output values, rounding, scenario behavior, overrides, audit lineage and mapped tests are reproducible.</x:v>
      </x:c>
      <x:c r="F229" s="12" t="str">
        <x:v>v1.0.0</x:v>
      </x:c>
      <x:c r="G229" s="12" t="str">
        <x:v>Implementation-ready</x:v>
      </x:c>
    </x:row>
    <x:row r="230">
      <x:c r="A230" s="12" t="str">
        <x:v>P26-REQ-229</x:v>
      </x:c>
      <x:c r="B230" s="12" t="str">
        <x:v>Overhead &amp; Profit</x:v>
      </x:c>
      <x:c r="C230" s="12" t="str">
        <x:v>Must</x:v>
      </x:c>
      <x:c r="D230" s="12" t="str">
        <x:v>GrounUp shall implement governed overhead &amp; profit execution capability 229 using versioned Phase 25 library data, explicit quantity/production assumptions, deterministic calculation lineage, tenant security and mapped acceptance evidence.</x:v>
      </x:c>
      <x:c r="E230" s="12" t="str">
        <x:v>Capability 229 passes when inputs, library snapshot/version, formulas/rules, units, output values, rounding, scenario behavior, overrides, audit lineage and mapped tests are reproducible.</x:v>
      </x:c>
      <x:c r="F230" s="12" t="str">
        <x:v>v1.0.0</x:v>
      </x:c>
      <x:c r="G230" s="12" t="str">
        <x:v>Implementation-ready</x:v>
      </x:c>
    </x:row>
    <x:row r="231">
      <x:c r="A231" s="12" t="str">
        <x:v>P26-REQ-230</x:v>
      </x:c>
      <x:c r="B231" s="12" t="str">
        <x:v>Tax &amp; Bond</x:v>
      </x:c>
      <x:c r="C231" s="12" t="str">
        <x:v>Must</x:v>
      </x:c>
      <x:c r="D231" s="12" t="str">
        <x:v>GrounUp shall implement governed tax &amp; bond execution capability 230 using versioned Phase 25 library data, explicit quantity/production assumptions, deterministic calculation lineage, tenant security and mapped acceptance evidence.</x:v>
      </x:c>
      <x:c r="E231" s="12" t="str">
        <x:v>Capability 230 passes when inputs, library snapshot/version, formulas/rules, units, output values, rounding, scenario behavior, overrides, audit lineage and mapped tests are reproducible.</x:v>
      </x:c>
      <x:c r="F231" s="12" t="str">
        <x:v>v1.0.0</x:v>
      </x:c>
      <x:c r="G231" s="12" t="str">
        <x:v>Implementation-ready</x:v>
      </x:c>
    </x:row>
    <x:row r="232">
      <x:c r="A232" s="12" t="str">
        <x:v>P26-REQ-231</x:v>
      </x:c>
      <x:c r="B232" s="12" t="str">
        <x:v>Unit Price</x:v>
      </x:c>
      <x:c r="C232" s="12" t="str">
        <x:v>Must</x:v>
      </x:c>
      <x:c r="D232" s="12" t="str">
        <x:v>GrounUp shall implement governed unit price execution capability 231 using versioned Phase 25 library data, explicit quantity/production assumptions, deterministic calculation lineage, tenant security and mapped acceptance evidence.</x:v>
      </x:c>
      <x:c r="E232" s="12" t="str">
        <x:v>Capability 231 passes when inputs, library snapshot/version, formulas/rules, units, output values, rounding, scenario behavior, overrides, audit lineage and mapped tests are reproducible.</x:v>
      </x:c>
      <x:c r="F232" s="12" t="str">
        <x:v>v1.0.0</x:v>
      </x:c>
      <x:c r="G232" s="12" t="str">
        <x:v>Implementation-ready</x:v>
      </x:c>
    </x:row>
    <x:row r="233">
      <x:c r="A233" s="12" t="str">
        <x:v>P26-REQ-232</x:v>
      </x:c>
      <x:c r="B233" s="12" t="str">
        <x:v>Bid Price</x:v>
      </x:c>
      <x:c r="C233" s="12" t="str">
        <x:v>Must</x:v>
      </x:c>
      <x:c r="D233" s="12" t="str">
        <x:v>GrounUp shall implement governed bid price execution capability 232 using versioned Phase 25 library data, explicit quantity/production assumptions, deterministic calculation lineage, tenant security and mapped acceptance evidence.</x:v>
      </x:c>
      <x:c r="E233" s="12" t="str">
        <x:v>Capability 232 passes when inputs, library snapshot/version, formulas/rules, units, output values, rounding, scenario behavior, overrides, audit lineage and mapped tests are reproducible.</x:v>
      </x:c>
      <x:c r="F233" s="12" t="str">
        <x:v>v1.0.0</x:v>
      </x:c>
      <x:c r="G233" s="12" t="str">
        <x:v>Implementation-ready</x:v>
      </x:c>
    </x:row>
    <x:row r="234">
      <x:c r="A234" s="12" t="str">
        <x:v>P26-REQ-233</x:v>
      </x:c>
      <x:c r="B234" s="12" t="str">
        <x:v>Low/High Range</x:v>
      </x:c>
      <x:c r="C234" s="12" t="str">
        <x:v>Must</x:v>
      </x:c>
      <x:c r="D234" s="12" t="str">
        <x:v>GrounUp shall implement governed low/high range execution capability 233 using versioned Phase 25 library data, explicit quantity/production assumptions, deterministic calculation lineage, tenant security and mapped acceptance evidence.</x:v>
      </x:c>
      <x:c r="E234" s="12" t="str">
        <x:v>Capability 233 passes when inputs, library snapshot/version, formulas/rules, units, output values, rounding, scenario behavior, overrides, audit lineage and mapped tests are reproducible.</x:v>
      </x:c>
      <x:c r="F234" s="12" t="str">
        <x:v>v1.0.0</x:v>
      </x:c>
      <x:c r="G234" s="12" t="str">
        <x:v>Implementation-ready</x:v>
      </x:c>
    </x:row>
    <x:row r="235">
      <x:c r="A235" s="12" t="str">
        <x:v>P26-REQ-234</x:v>
      </x:c>
      <x:c r="B235" s="12" t="str">
        <x:v>Scenario Comparison</x:v>
      </x:c>
      <x:c r="C235" s="12" t="str">
        <x:v>Must</x:v>
      </x:c>
      <x:c r="D235" s="12" t="str">
        <x:v>GrounUp shall implement governed scenario comparison execution capability 234 using versioned Phase 25 library data, explicit quantity/production assumptions, deterministic calculation lineage, tenant security and mapped acceptance evidence.</x:v>
      </x:c>
      <x:c r="E235" s="12" t="str">
        <x:v>Capability 234 passes when inputs, library snapshot/version, formulas/rules, units, output values, rounding, scenario behavior, overrides, audit lineage and mapped tests are reproducible.</x:v>
      </x:c>
      <x:c r="F235" s="12" t="str">
        <x:v>v1.0.0</x:v>
      </x:c>
      <x:c r="G235" s="12" t="str">
        <x:v>Implementation-ready</x:v>
      </x:c>
    </x:row>
    <x:row r="236">
      <x:c r="A236" s="12" t="str">
        <x:v>P26-REQ-235</x:v>
      </x:c>
      <x:c r="B236" s="12" t="str">
        <x:v>Estimate Confidence</x:v>
      </x:c>
      <x:c r="C236" s="12" t="str">
        <x:v>Must</x:v>
      </x:c>
      <x:c r="D236" s="12" t="str">
        <x:v>GrounUp shall implement governed estimate confidence execution capability 235 using versioned Phase 25 library data, explicit quantity/production assumptions, deterministic calculation lineage, tenant security and mapped acceptance evidence.</x:v>
      </x:c>
      <x:c r="E236" s="12" t="str">
        <x:v>Capability 235 passes when inputs, library snapshot/version, formulas/rules, units, output values, rounding, scenario behavior, overrides, audit lineage and mapped tests are reproducible.</x:v>
      </x:c>
      <x:c r="F236" s="12" t="str">
        <x:v>v1.0.0</x:v>
      </x:c>
      <x:c r="G236" s="12" t="str">
        <x:v>Implementation-ready</x:v>
      </x:c>
    </x:row>
    <x:row r="237">
      <x:c r="A237" s="12" t="str">
        <x:v>P26-REQ-236</x:v>
      </x:c>
      <x:c r="B237" s="12" t="str">
        <x:v>Regional Pricing</x:v>
      </x:c>
      <x:c r="C237" s="12" t="str">
        <x:v>Must</x:v>
      </x:c>
      <x:c r="D237" s="12" t="str">
        <x:v>GrounUp shall implement governed regional pricing execution capability 236 using versioned Phase 25 library data, explicit quantity/production assumptions, deterministic calculation lineage, tenant security and mapped acceptance evidence.</x:v>
      </x:c>
      <x:c r="E237" s="12" t="str">
        <x:v>Capability 236 passes when inputs, library snapshot/version, formulas/rules, units, output values, rounding, scenario behavior, overrides, audit lineage and mapped tests are reproducible.</x:v>
      </x:c>
      <x:c r="F237" s="12" t="str">
        <x:v>v1.0.0</x:v>
      </x:c>
      <x:c r="G237" s="12" t="str">
        <x:v>Implementation-ready</x:v>
      </x:c>
    </x:row>
    <x:row r="238">
      <x:c r="A238" s="12" t="str">
        <x:v>P26-REQ-237</x:v>
      </x:c>
      <x:c r="B238" s="12" t="str">
        <x:v>Vendor Quote Override</x:v>
      </x:c>
      <x:c r="C238" s="12" t="str">
        <x:v>Must</x:v>
      </x:c>
      <x:c r="D238" s="12" t="str">
        <x:v>GrounUp shall implement governed vendor quote override execution capability 237 using versioned Phase 25 library data, explicit quantity/production assumptions, deterministic calculation lineage, tenant security and mapped acceptance evidence.</x:v>
      </x:c>
      <x:c r="E238" s="12" t="str">
        <x:v>Capability 237 passes when inputs, library snapshot/version, formulas/rules, units, output values, rounding, scenario behavior, overrides, audit lineage and mapped tests are reproducible.</x:v>
      </x:c>
      <x:c r="F238" s="12" t="str">
        <x:v>v1.0.0</x:v>
      </x:c>
      <x:c r="G238" s="12" t="str">
        <x:v>Implementation-ready</x:v>
      </x:c>
    </x:row>
    <x:row r="239">
      <x:c r="A239" s="12" t="str">
        <x:v>P26-REQ-238</x:v>
      </x:c>
      <x:c r="B239" s="12" t="str">
        <x:v>Snapshot Reproducibility</x:v>
      </x:c>
      <x:c r="C239" s="12" t="str">
        <x:v>Must</x:v>
      </x:c>
      <x:c r="D239" s="12" t="str">
        <x:v>GrounUp shall implement governed snapshot reproducibility execution capability 238 using versioned Phase 25 library data, explicit quantity/production assumptions, deterministic calculation lineage, tenant security and mapped acceptance evidence.</x:v>
      </x:c>
      <x:c r="E239" s="12" t="str">
        <x:v>Capability 238 passes when inputs, library snapshot/version, formulas/rules, units, output values, rounding, scenario behavior, overrides, audit lineage and mapped tests are reproducible.</x:v>
      </x:c>
      <x:c r="F239" s="12" t="str">
        <x:v>v1.0.0</x:v>
      </x:c>
      <x:c r="G239" s="12" t="str">
        <x:v>Implementation-ready</x:v>
      </x:c>
    </x:row>
    <x:row r="240">
      <x:c r="A240" s="12" t="str">
        <x:v>P26-REQ-239</x:v>
      </x:c>
      <x:c r="B240" s="12" t="str">
        <x:v>Service Catalog Writeback</x:v>
      </x:c>
      <x:c r="C240" s="12" t="str">
        <x:v>Must</x:v>
      </x:c>
      <x:c r="D240" s="12" t="str">
        <x:v>GrounUp shall implement governed service catalog writeback execution capability 239 using versioned Phase 25 library data, explicit quantity/production assumptions, deterministic calculation lineage, tenant security and mapped acceptance evidence.</x:v>
      </x:c>
      <x:c r="E240" s="12" t="str">
        <x:v>Capability 239 passes when inputs, library snapshot/version, formulas/rules, units, output values, rounding, scenario behavior, overrides, audit lineage and mapped tests are reproducible.</x:v>
      </x:c>
      <x:c r="F240" s="12" t="str">
        <x:v>v1.0.0</x:v>
      </x:c>
      <x:c r="G240" s="12" t="str">
        <x:v>Implementation-ready</x:v>
      </x:c>
    </x:row>
    <x:row r="241">
      <x:c r="A241" s="12" t="str">
        <x:v>P26-REQ-240</x:v>
      </x:c>
      <x:c r="B241" s="12" t="str">
        <x:v>AI Estimate Assist</x:v>
      </x:c>
      <x:c r="C241" s="12" t="str">
        <x:v>Must</x:v>
      </x:c>
      <x:c r="D241" s="12" t="str">
        <x:v>GrounUp shall implement governed ai estimate assist execution capability 240 using versioned Phase 25 library data, explicit quantity/production assumptions, deterministic calculation lineage, tenant security and mapped acceptance evidence.</x:v>
      </x:c>
      <x:c r="E241" s="12" t="str">
        <x:v>Capability 240 passes when inputs, library snapshot/version, formulas/rules, units, output values, rounding, scenario behavior, overrides, audit lineage and mapped tests are reproducible.</x:v>
      </x:c>
      <x:c r="F241" s="12" t="str">
        <x:v>v1.0.0</x:v>
      </x:c>
      <x:c r="G241" s="12" t="str">
        <x:v>Implementation-ready</x:v>
      </x:c>
    </x:row>
    <x:row r="242">
      <x:c r="A242" s="12" t="str">
        <x:v>P26-REQ-241</x:v>
      </x:c>
      <x:c r="B242" s="12" t="str">
        <x:v>Estimate Review &amp; Approval</x:v>
      </x:c>
      <x:c r="C242" s="12" t="str">
        <x:v>Must</x:v>
      </x:c>
      <x:c r="D242" s="12" t="str">
        <x:v>GrounUp shall implement governed estimate review &amp; approval execution capability 241 using versioned Phase 25 library data, explicit quantity/production assumptions, deterministic calculation lineage, tenant security and mapped acceptance evidence.</x:v>
      </x:c>
      <x:c r="E242" s="12" t="str">
        <x:v>Capability 241 passes when inputs, library snapshot/version, formulas/rules, units, output values, rounding, scenario behavior, overrides, audit lineage and mapped tests are reproducible.</x:v>
      </x:c>
      <x:c r="F242" s="12" t="str">
        <x:v>v1.0.0</x:v>
      </x:c>
      <x:c r="G242" s="12" t="str">
        <x:v>Implementation-ready</x:v>
      </x:c>
    </x:row>
    <x:row r="243">
      <x:c r="A243" s="12" t="str">
        <x:v>P26-REQ-242</x:v>
      </x:c>
      <x:c r="B243" s="12" t="str">
        <x:v>Estimate Export</x:v>
      </x:c>
      <x:c r="C243" s="12" t="str">
        <x:v>Must</x:v>
      </x:c>
      <x:c r="D243" s="12" t="str">
        <x:v>GrounUp shall implement governed estimate export execution capability 242 using versioned Phase 25 library data, explicit quantity/production assumptions, deterministic calculation lineage, tenant security and mapped acceptance evidence.</x:v>
      </x:c>
      <x:c r="E243" s="12" t="str">
        <x:v>Capability 242 passes when inputs, library snapshot/version, formulas/rules, units, output values, rounding, scenario behavior, overrides, audit lineage and mapped tests are reproducible.</x:v>
      </x:c>
      <x:c r="F243" s="12" t="str">
        <x:v>v1.0.0</x:v>
      </x:c>
      <x:c r="G243" s="12" t="str">
        <x:v>Implementation-ready</x:v>
      </x:c>
    </x:row>
    <x:row r="244">
      <x:c r="A244" s="12" t="str">
        <x:v>P26-REQ-243</x:v>
      </x:c>
      <x:c r="B244" s="12" t="str">
        <x:v>Proposal Handoff</x:v>
      </x:c>
      <x:c r="C244" s="12" t="str">
        <x:v>Must</x:v>
      </x:c>
      <x:c r="D244" s="12" t="str">
        <x:v>GrounUp shall implement governed proposal handoff execution capability 243 using versioned Phase 25 library data, explicit quantity/production assumptions, deterministic calculation lineage, tenant security and mapped acceptance evidence.</x:v>
      </x:c>
      <x:c r="E244" s="12" t="str">
        <x:v>Capability 243 passes when inputs, library snapshot/version, formulas/rules, units, output values, rounding, scenario behavior, overrides, audit lineage and mapped tests are reproducible.</x:v>
      </x:c>
      <x:c r="F244" s="12" t="str">
        <x:v>v1.0.0</x:v>
      </x:c>
      <x:c r="G244" s="12" t="str">
        <x:v>Implementation-ready</x:v>
      </x:c>
    </x:row>
    <x:row r="245">
      <x:c r="A245" s="12" t="str">
        <x:v>P26-REQ-244</x:v>
      </x:c>
      <x:c r="B245" s="12" t="str">
        <x:v>Job Cost Baseline</x:v>
      </x:c>
      <x:c r="C245" s="12" t="str">
        <x:v>Must</x:v>
      </x:c>
      <x:c r="D245" s="12" t="str">
        <x:v>GrounUp shall implement governed job cost baseline execution capability 244 using versioned Phase 25 library data, explicit quantity/production assumptions, deterministic calculation lineage, tenant security and mapped acceptance evidence.</x:v>
      </x:c>
      <x:c r="E245" s="12" t="str">
        <x:v>Capability 244 passes when inputs, library snapshot/version, formulas/rules, units, output values, rounding, scenario behavior, overrides, audit lineage and mapped tests are reproducible.</x:v>
      </x:c>
      <x:c r="F245" s="12" t="str">
        <x:v>v1.0.0</x:v>
      </x:c>
      <x:c r="G245" s="12" t="str">
        <x:v>Implementation-ready</x:v>
      </x:c>
    </x:row>
    <x:row r="246">
      <x:c r="A246" s="12" t="str">
        <x:v>P26-REQ-245</x:v>
      </x:c>
      <x:c r="B246" s="12" t="str">
        <x:v>Audit &amp; Traceability</x:v>
      </x:c>
      <x:c r="C246" s="12" t="str">
        <x:v>Must</x:v>
      </x:c>
      <x:c r="D246" s="12" t="str">
        <x:v>GrounUp shall implement governed audit &amp; traceability execution capability 245 using versioned Phase 25 library data, explicit quantity/production assumptions, deterministic calculation lineage, tenant security and mapped acceptance evidence.</x:v>
      </x:c>
      <x:c r="E246" s="12" t="str">
        <x:v>Capability 245 passes when inputs, library snapshot/version, formulas/rules, units, output values, rounding, scenario behavior, overrides, audit lineage and mapped tests are reproducible.</x:v>
      </x:c>
      <x:c r="F246" s="12" t="str">
        <x:v>v1.0.0</x:v>
      </x:c>
      <x:c r="G246" s="12" t="str">
        <x:v>Implementation-ready</x:v>
      </x:c>
    </x:row>
    <x:row r="247">
      <x:c r="A247" s="12" t="str">
        <x:v>P26-REQ-246</x:v>
      </x:c>
      <x:c r="B247" s="12" t="str">
        <x:v>Estimate Lifecycle</x:v>
      </x:c>
      <x:c r="C247" s="12" t="str">
        <x:v>Must</x:v>
      </x:c>
      <x:c r="D247" s="12" t="str">
        <x:v>GrounUp shall implement governed estimate lifecycle execution capability 246 using versioned Phase 25 library data, explicit quantity/production assumptions, deterministic calculation lineage, tenant security and mapped acceptance evidence.</x:v>
      </x:c>
      <x:c r="E247" s="12" t="str">
        <x:v>Capability 246 passes when inputs, library snapshot/version, formulas/rules, units, output values, rounding, scenario behavior, overrides, audit lineage and mapped tests are reproducible.</x:v>
      </x:c>
      <x:c r="F247" s="12" t="str">
        <x:v>v1.0.0</x:v>
      </x:c>
      <x:c r="G247" s="12" t="str">
        <x:v>Implementation-ready</x:v>
      </x:c>
    </x:row>
    <x:row r="248">
      <x:c r="A248" s="12" t="str">
        <x:v>P26-REQ-247</x:v>
      </x:c>
      <x:c r="B248" s="12" t="str">
        <x:v>Estimate Versions</x:v>
      </x:c>
      <x:c r="C248" s="12" t="str">
        <x:v>Must</x:v>
      </x:c>
      <x:c r="D248" s="12" t="str">
        <x:v>GrounUp shall implement governed estimate versions execution capability 247 using versioned Phase 25 library data, explicit quantity/production assumptions, deterministic calculation lineage, tenant security and mapped acceptance evidence.</x:v>
      </x:c>
      <x:c r="E248" s="12" t="str">
        <x:v>Capability 247 passes when inputs, library snapshot/version, formulas/rules, units, output values, rounding, scenario behavior, overrides, audit lineage and mapped tests are reproducible.</x:v>
      </x:c>
      <x:c r="F248" s="12" t="str">
        <x:v>v1.0.0</x:v>
      </x:c>
      <x:c r="G248" s="12" t="str">
        <x:v>Implementation-ready</x:v>
      </x:c>
    </x:row>
    <x:row r="249">
      <x:c r="A249" s="12" t="str">
        <x:v>P26-REQ-248</x:v>
      </x:c>
      <x:c r="B249" s="12" t="str">
        <x:v>Estimate Templates</x:v>
      </x:c>
      <x:c r="C249" s="12" t="str">
        <x:v>Must</x:v>
      </x:c>
      <x:c r="D249" s="12" t="str">
        <x:v>GrounUp shall implement governed estimate templates execution capability 248 using versioned Phase 25 library data, explicit quantity/production assumptions, deterministic calculation lineage, tenant security and mapped acceptance evidence.</x:v>
      </x:c>
      <x:c r="E249" s="12" t="str">
        <x:v>Capability 248 passes when inputs, library snapshot/version, formulas/rules, units, output values, rounding, scenario behavior, overrides, audit lineage and mapped tests are reproducible.</x:v>
      </x:c>
      <x:c r="F249" s="12" t="str">
        <x:v>v1.0.0</x:v>
      </x:c>
      <x:c r="G249" s="12" t="str">
        <x:v>Implementation-ready</x:v>
      </x:c>
    </x:row>
    <x:row r="250">
      <x:c r="A250" s="12" t="str">
        <x:v>P26-REQ-249</x:v>
      </x:c>
      <x:c r="B250" s="12" t="str">
        <x:v>Service Selection</x:v>
      </x:c>
      <x:c r="C250" s="12" t="str">
        <x:v>Must</x:v>
      </x:c>
      <x:c r="D250" s="12" t="str">
        <x:v>GrounUp shall implement governed service selection execution capability 249 using versioned Phase 25 library data, explicit quantity/production assumptions, deterministic calculation lineage, tenant security and mapped acceptance evidence.</x:v>
      </x:c>
      <x:c r="E250" s="12" t="str">
        <x:v>Capability 249 passes when inputs, library snapshot/version, formulas/rules, units, output values, rounding, scenario behavior, overrides, audit lineage and mapped tests are reproducible.</x:v>
      </x:c>
      <x:c r="F250" s="12" t="str">
        <x:v>v1.0.0</x:v>
      </x:c>
      <x:c r="G250" s="12" t="str">
        <x:v>Implementation-ready</x:v>
      </x:c>
    </x:row>
    <x:row r="251">
      <x:c r="A251" s="12" t="str">
        <x:v>P26-REQ-250</x:v>
      </x:c>
      <x:c r="B251" s="12" t="str">
        <x:v>Assembly Expansion</x:v>
      </x:c>
      <x:c r="C251" s="12" t="str">
        <x:v>Must</x:v>
      </x:c>
      <x:c r="D251" s="12" t="str">
        <x:v>GrounUp shall implement governed assembly expansion execution capability 250 using versioned Phase 25 library data, explicit quantity/production assumptions, deterministic calculation lineage, tenant security and mapped acceptance evidence.</x:v>
      </x:c>
      <x:c r="E251" s="12" t="str">
        <x:v>Capability 250 passes when inputs, library snapshot/version, formulas/rules, units, output values, rounding, scenario behavior, overrides, audit lineage and mapped tests are reproducible.</x:v>
      </x:c>
      <x:c r="F251" s="12" t="str">
        <x:v>v1.0.0</x:v>
      </x:c>
      <x:c r="G251" s="12" t="str">
        <x:v>Implementation-ready</x:v>
      </x:c>
    </x:row>
    <x:row r="252">
      <x:c r="A252" s="12" t="str">
        <x:v>P26-REQ-251</x:v>
      </x:c>
      <x:c r="B252" s="12" t="str">
        <x:v>Quantity Input</x:v>
      </x:c>
      <x:c r="C252" s="12" t="str">
        <x:v>Must</x:v>
      </x:c>
      <x:c r="D252" s="12" t="str">
        <x:v>GrounUp shall implement governed quantity input execution capability 251 using versioned Phase 25 library data, explicit quantity/production assumptions, deterministic calculation lineage, tenant security and mapped acceptance evidence.</x:v>
      </x:c>
      <x:c r="E252" s="12" t="str">
        <x:v>Capability 251 passes when inputs, library snapshot/version, formulas/rules, units, output values, rounding, scenario behavior, overrides, audit lineage and mapped tests are reproducible.</x:v>
      </x:c>
      <x:c r="F252" s="12" t="str">
        <x:v>v1.0.0</x:v>
      </x:c>
      <x:c r="G252" s="12" t="str">
        <x:v>Implementation-ready</x:v>
      </x:c>
    </x:row>
    <x:row r="253">
      <x:c r="A253" s="12" t="str">
        <x:v>P26-REQ-252</x:v>
      </x:c>
      <x:c r="B253" s="12" t="str">
        <x:v>Quantity Takeoff Intake</x:v>
      </x:c>
      <x:c r="C253" s="12" t="str">
        <x:v>Must</x:v>
      </x:c>
      <x:c r="D253" s="12" t="str">
        <x:v>GrounUp shall implement governed quantity takeoff intake execution capability 252 using versioned Phase 25 library data, explicit quantity/production assumptions, deterministic calculation lineage, tenant security and mapped acceptance evidence.</x:v>
      </x:c>
      <x:c r="E253" s="12" t="str">
        <x:v>Capability 252 passes when inputs, library snapshot/version, formulas/rules, units, output values, rounding, scenario behavior, overrides, audit lineage and mapped tests are reproducible.</x:v>
      </x:c>
      <x:c r="F253" s="12" t="str">
        <x:v>v1.0.0</x:v>
      </x:c>
      <x:c r="G253" s="12" t="str">
        <x:v>Implementation-ready</x:v>
      </x:c>
    </x:row>
    <x:row r="254">
      <x:c r="A254" s="12" t="str">
        <x:v>P26-REQ-253</x:v>
      </x:c>
      <x:c r="B254" s="12" t="str">
        <x:v>Labor Cost</x:v>
      </x:c>
      <x:c r="C254" s="12" t="str">
        <x:v>Must</x:v>
      </x:c>
      <x:c r="D254" s="12" t="str">
        <x:v>GrounUp shall implement governed labor cost execution capability 253 using versioned Phase 25 library data, explicit quantity/production assumptions, deterministic calculation lineage, tenant security and mapped acceptance evidence.</x:v>
      </x:c>
      <x:c r="E254" s="12" t="str">
        <x:v>Capability 253 passes when inputs, library snapshot/version, formulas/rules, units, output values, rounding, scenario behavior, overrides, audit lineage and mapped tests are reproducible.</x:v>
      </x:c>
      <x:c r="F254" s="12" t="str">
        <x:v>v1.0.0</x:v>
      </x:c>
      <x:c r="G254" s="12" t="str">
        <x:v>Implementation-ready</x:v>
      </x:c>
    </x:row>
    <x:row r="255">
      <x:c r="A255" s="12" t="str">
        <x:v>P26-REQ-254</x:v>
      </x:c>
      <x:c r="B255" s="12" t="str">
        <x:v>Labor Burden</x:v>
      </x:c>
      <x:c r="C255" s="12" t="str">
        <x:v>Must</x:v>
      </x:c>
      <x:c r="D255" s="12" t="str">
        <x:v>GrounUp shall implement governed labor burden execution capability 254 using versioned Phase 25 library data, explicit quantity/production assumptions, deterministic calculation lineage, tenant security and mapped acceptance evidence.</x:v>
      </x:c>
      <x:c r="E255" s="12" t="str">
        <x:v>Capability 254 passes when inputs, library snapshot/version, formulas/rules, units, output values, rounding, scenario behavior, overrides, audit lineage and mapped tests are reproducible.</x:v>
      </x:c>
      <x:c r="F255" s="12" t="str">
        <x:v>v1.0.0</x:v>
      </x:c>
      <x:c r="G255" s="12" t="str">
        <x:v>Implementation-ready</x:v>
      </x:c>
    </x:row>
    <x:row r="256">
      <x:c r="A256" s="12" t="str">
        <x:v>P26-REQ-255</x:v>
      </x:c>
      <x:c r="B256" s="12" t="str">
        <x:v>Crew Composition</x:v>
      </x:c>
      <x:c r="C256" s="12" t="str">
        <x:v>Must</x:v>
      </x:c>
      <x:c r="D256" s="12" t="str">
        <x:v>GrounUp shall implement governed crew composition execution capability 255 using versioned Phase 25 library data, explicit quantity/production assumptions, deterministic calculation lineage, tenant security and mapped acceptance evidence.</x:v>
      </x:c>
      <x:c r="E256" s="12" t="str">
        <x:v>Capability 255 passes when inputs, library snapshot/version, formulas/rules, units, output values, rounding, scenario behavior, overrides, audit lineage and mapped tests are reproducible.</x:v>
      </x:c>
      <x:c r="F256" s="12" t="str">
        <x:v>v1.0.0</x:v>
      </x:c>
      <x:c r="G256" s="12" t="str">
        <x:v>Implementation-ready</x:v>
      </x:c>
    </x:row>
    <x:row r="257">
      <x:c r="A257" s="12" t="str">
        <x:v>P26-REQ-256</x:v>
      </x:c>
      <x:c r="B257" s="12" t="str">
        <x:v>Crew Size Recommendation</x:v>
      </x:c>
      <x:c r="C257" s="12" t="str">
        <x:v>Must</x:v>
      </x:c>
      <x:c r="D257" s="12" t="str">
        <x:v>GrounUp shall implement governed crew size recommendation execution capability 256 using versioned Phase 25 library data, explicit quantity/production assumptions, deterministic calculation lineage, tenant security and mapped acceptance evidence.</x:v>
      </x:c>
      <x:c r="E257" s="12" t="str">
        <x:v>Capability 256 passes when inputs, library snapshot/version, formulas/rules, units, output values, rounding, scenario behavior, overrides, audit lineage and mapped tests are reproducible.</x:v>
      </x:c>
      <x:c r="F257" s="12" t="str">
        <x:v>v1.0.0</x:v>
      </x:c>
      <x:c r="G257" s="12" t="str">
        <x:v>Implementation-ready</x:v>
      </x:c>
    </x:row>
    <x:row r="258">
      <x:c r="A258" s="12" t="str">
        <x:v>P26-REQ-257</x:v>
      </x:c>
      <x:c r="B258" s="12" t="str">
        <x:v>Equipment Selection</x:v>
      </x:c>
      <x:c r="C258" s="12" t="str">
        <x:v>Must</x:v>
      </x:c>
      <x:c r="D258" s="12" t="str">
        <x:v>GrounUp shall implement governed equipment selection execution capability 257 using versioned Phase 25 library data, explicit quantity/production assumptions, deterministic calculation lineage, tenant security and mapped acceptance evidence.</x:v>
      </x:c>
      <x:c r="E258" s="12" t="str">
        <x:v>Capability 257 passes when inputs, library snapshot/version, formulas/rules, units, output values, rounding, scenario behavior, overrides, audit lineage and mapped tests are reproducible.</x:v>
      </x:c>
      <x:c r="F258" s="12" t="str">
        <x:v>v1.0.0</x:v>
      </x:c>
      <x:c r="G258" s="12" t="str">
        <x:v>Implementation-ready</x:v>
      </x:c>
    </x:row>
    <x:row r="259">
      <x:c r="A259" s="12" t="str">
        <x:v>P26-REQ-258</x:v>
      </x:c>
      <x:c r="B259" s="12" t="str">
        <x:v>Equipment Cost</x:v>
      </x:c>
      <x:c r="C259" s="12" t="str">
        <x:v>Must</x:v>
      </x:c>
      <x:c r="D259" s="12" t="str">
        <x:v>GrounUp shall implement governed equipment cost execution capability 258 using versioned Phase 25 library data, explicit quantity/production assumptions, deterministic calculation lineage, tenant security and mapped acceptance evidence.</x:v>
      </x:c>
      <x:c r="E259" s="12" t="str">
        <x:v>Capability 258 passes when inputs, library snapshot/version, formulas/rules, units, output values, rounding, scenario behavior, overrides, audit lineage and mapped tests are reproducible.</x:v>
      </x:c>
      <x:c r="F259" s="12" t="str">
        <x:v>v1.0.0</x:v>
      </x:c>
      <x:c r="G259" s="12" t="str">
        <x:v>Implementation-ready</x:v>
      </x:c>
    </x:row>
    <x:row r="260">
      <x:c r="A260" s="12" t="str">
        <x:v>P26-REQ-259</x:v>
      </x:c>
      <x:c r="B260" s="12" t="str">
        <x:v>Equipment Rate Selection</x:v>
      </x:c>
      <x:c r="C260" s="12" t="str">
        <x:v>Must</x:v>
      </x:c>
      <x:c r="D260" s="12" t="str">
        <x:v>GrounUp shall implement governed equipment rate selection execution capability 259 using versioned Phase 25 library data, explicit quantity/production assumptions, deterministic calculation lineage, tenant security and mapped acceptance evidence.</x:v>
      </x:c>
      <x:c r="E260" s="12" t="str">
        <x:v>Capability 259 passes when inputs, library snapshot/version, formulas/rules, units, output values, rounding, scenario behavior, overrides, audit lineage and mapped tests are reproducible.</x:v>
      </x:c>
      <x:c r="F260" s="12" t="str">
        <x:v>v1.0.0</x:v>
      </x:c>
      <x:c r="G260" s="12" t="str">
        <x:v>Implementation-ready</x:v>
      </x:c>
    </x:row>
    <x:row r="261">
      <x:c r="A261" s="12" t="str">
        <x:v>P26-REQ-260</x:v>
      </x:c>
      <x:c r="B261" s="12" t="str">
        <x:v>Fuel Consumption</x:v>
      </x:c>
      <x:c r="C261" s="12" t="str">
        <x:v>Must</x:v>
      </x:c>
      <x:c r="D261" s="12" t="str">
        <x:v>GrounUp shall implement governed fuel consumption execution capability 260 using versioned Phase 25 library data, explicit quantity/production assumptions, deterministic calculation lineage, tenant security and mapped acceptance evidence.</x:v>
      </x:c>
      <x:c r="E261" s="12" t="str">
        <x:v>Capability 260 passes when inputs, library snapshot/version, formulas/rules, units, output values, rounding, scenario behavior, overrides, audit lineage and mapped tests are reproducible.</x:v>
      </x:c>
      <x:c r="F261" s="12" t="str">
        <x:v>v1.0.0</x:v>
      </x:c>
      <x:c r="G261" s="12" t="str">
        <x:v>Implementation-ready</x:v>
      </x:c>
    </x:row>
    <x:row r="262">
      <x:c r="A262" s="12" t="str">
        <x:v>P26-REQ-261</x:v>
      </x:c>
      <x:c r="B262" s="12" t="str">
        <x:v>Truck Selection</x:v>
      </x:c>
      <x:c r="C262" s="12" t="str">
        <x:v>Must</x:v>
      </x:c>
      <x:c r="D262" s="12" t="str">
        <x:v>GrounUp shall implement governed truck selection execution capability 261 using versioned Phase 25 library data, explicit quantity/production assumptions, deterministic calculation lineage, tenant security and mapped acceptance evidence.</x:v>
      </x:c>
      <x:c r="E262" s="12" t="str">
        <x:v>Capability 261 passes when inputs, library snapshot/version, formulas/rules, units, output values, rounding, scenario behavior, overrides, audit lineage and mapped tests are reproducible.</x:v>
      </x:c>
      <x:c r="F262" s="12" t="str">
        <x:v>v1.0.0</x:v>
      </x:c>
      <x:c r="G262" s="12" t="str">
        <x:v>Implementation-ready</x:v>
      </x:c>
    </x:row>
    <x:row r="263">
      <x:c r="A263" s="12" t="str">
        <x:v>P26-REQ-262</x:v>
      </x:c>
      <x:c r="B263" s="12" t="str">
        <x:v>Truck Cycle Calculation</x:v>
      </x:c>
      <x:c r="C263" s="12" t="str">
        <x:v>Must</x:v>
      </x:c>
      <x:c r="D263" s="12" t="str">
        <x:v>GrounUp shall implement governed truck cycle calculation execution capability 262 using versioned Phase 25 library data, explicit quantity/production assumptions, deterministic calculation lineage, tenant security and mapped acceptance evidence.</x:v>
      </x:c>
      <x:c r="E263" s="12" t="str">
        <x:v>Capability 262 passes when inputs, library snapshot/version, formulas/rules, units, output values, rounding, scenario behavior, overrides, audit lineage and mapped tests are reproducible.</x:v>
      </x:c>
      <x:c r="F263" s="12" t="str">
        <x:v>v1.0.0</x:v>
      </x:c>
      <x:c r="G263" s="12" t="str">
        <x:v>Implementation-ready</x:v>
      </x:c>
    </x:row>
    <x:row r="264">
      <x:c r="A264" s="12" t="str">
        <x:v>P26-REQ-263</x:v>
      </x:c>
      <x:c r="B264" s="12" t="str">
        <x:v>Truck Count</x:v>
      </x:c>
      <x:c r="C264" s="12" t="str">
        <x:v>Must</x:v>
      </x:c>
      <x:c r="D264" s="12" t="str">
        <x:v>GrounUp shall implement governed truck count execution capability 263 using versioned Phase 25 library data, explicit quantity/production assumptions, deterministic calculation lineage, tenant security and mapped acceptance evidence.</x:v>
      </x:c>
      <x:c r="E264" s="12" t="str">
        <x:v>Capability 263 passes when inputs, library snapshot/version, formulas/rules, units, output values, rounding, scenario behavior, overrides, audit lineage and mapped tests are reproducible.</x:v>
      </x:c>
      <x:c r="F264" s="12" t="str">
        <x:v>v1.0.0</x:v>
      </x:c>
      <x:c r="G264" s="12" t="str">
        <x:v>Implementation-ready</x:v>
      </x:c>
    </x:row>
    <x:row r="265">
      <x:c r="A265" s="12" t="str">
        <x:v>P26-REQ-264</x:v>
      </x:c>
      <x:c r="B265" s="12" t="str">
        <x:v>Haul Distance</x:v>
      </x:c>
      <x:c r="C265" s="12" t="str">
        <x:v>Must</x:v>
      </x:c>
      <x:c r="D265" s="12" t="str">
        <x:v>GrounUp shall implement governed haul distance execution capability 264 using versioned Phase 25 library data, explicit quantity/production assumptions, deterministic calculation lineage, tenant security and mapped acceptance evidence.</x:v>
      </x:c>
      <x:c r="E265" s="12" t="str">
        <x:v>Capability 264 passes when inputs, library snapshot/version, formulas/rules, units, output values, rounding, scenario behavior, overrides, audit lineage and mapped tests are reproducible.</x:v>
      </x:c>
      <x:c r="F265" s="12" t="str">
        <x:v>v1.0.0</x:v>
      </x:c>
      <x:c r="G265" s="12" t="str">
        <x:v>Implementation-ready</x:v>
      </x:c>
    </x:row>
    <x:row r="266">
      <x:c r="A266" s="12" t="str">
        <x:v>P26-REQ-265</x:v>
      </x:c>
      <x:c r="B266" s="12" t="str">
        <x:v>Disposal Cost</x:v>
      </x:c>
      <x:c r="C266" s="12" t="str">
        <x:v>Must</x:v>
      </x:c>
      <x:c r="D266" s="12" t="str">
        <x:v>GrounUp shall implement governed disposal cost execution capability 265 using versioned Phase 25 library data, explicit quantity/production assumptions, deterministic calculation lineage, tenant security and mapped acceptance evidence.</x:v>
      </x:c>
      <x:c r="E266" s="12" t="str">
        <x:v>Capability 265 passes when inputs, library snapshot/version, formulas/rules, units, output values, rounding, scenario behavior, overrides, audit lineage and mapped tests are reproducible.</x:v>
      </x:c>
      <x:c r="F266" s="12" t="str">
        <x:v>v1.0.0</x:v>
      </x:c>
      <x:c r="G266" s="12" t="str">
        <x:v>Implementation-ready</x:v>
      </x:c>
    </x:row>
    <x:row r="267">
      <x:c r="A267" s="12" t="str">
        <x:v>P26-REQ-266</x:v>
      </x:c>
      <x:c r="B267" s="12" t="str">
        <x:v>Material Cost</x:v>
      </x:c>
      <x:c r="C267" s="12" t="str">
        <x:v>Must</x:v>
      </x:c>
      <x:c r="D267" s="12" t="str">
        <x:v>GrounUp shall implement governed material cost execution capability 266 using versioned Phase 25 library data, explicit quantity/production assumptions, deterministic calculation lineage, tenant security and mapped acceptance evidence.</x:v>
      </x:c>
      <x:c r="E267" s="12" t="str">
        <x:v>Capability 266 passes when inputs, library snapshot/version, formulas/rules, units, output values, rounding, scenario behavior, overrides, audit lineage and mapped tests are reproducible.</x:v>
      </x:c>
      <x:c r="F267" s="12" t="str">
        <x:v>v1.0.0</x:v>
      </x:c>
      <x:c r="G267" s="12" t="str">
        <x:v>Implementation-ready</x:v>
      </x:c>
    </x:row>
    <x:row r="268">
      <x:c r="A268" s="12" t="str">
        <x:v>P26-REQ-267</x:v>
      </x:c>
      <x:c r="B268" s="12" t="str">
        <x:v>Material Waste</x:v>
      </x:c>
      <x:c r="C268" s="12" t="str">
        <x:v>Must</x:v>
      </x:c>
      <x:c r="D268" s="12" t="str">
        <x:v>GrounUp shall implement governed material waste execution capability 267 using versioned Phase 25 library data, explicit quantity/production assumptions, deterministic calculation lineage, tenant security and mapped acceptance evidence.</x:v>
      </x:c>
      <x:c r="E268" s="12" t="str">
        <x:v>Capability 267 passes when inputs, library snapshot/version, formulas/rules, units, output values, rounding, scenario behavior, overrides, audit lineage and mapped tests are reproducible.</x:v>
      </x:c>
      <x:c r="F268" s="12" t="str">
        <x:v>v1.0.0</x:v>
      </x:c>
      <x:c r="G268" s="12" t="str">
        <x:v>Implementation-ready</x:v>
      </x:c>
    </x:row>
    <x:row r="269">
      <x:c r="A269" s="12" t="str">
        <x:v>P26-REQ-268</x:v>
      </x:c>
      <x:c r="B269" s="12" t="str">
        <x:v>Subcontract Cost</x:v>
      </x:c>
      <x:c r="C269" s="12" t="str">
        <x:v>Must</x:v>
      </x:c>
      <x:c r="D269" s="12" t="str">
        <x:v>GrounUp shall implement governed subcontract cost execution capability 268 using versioned Phase 25 library data, explicit quantity/production assumptions, deterministic calculation lineage, tenant security and mapped acceptance evidence.</x:v>
      </x:c>
      <x:c r="E269" s="12" t="str">
        <x:v>Capability 268 passes when inputs, library snapshot/version, formulas/rules, units, output values, rounding, scenario behavior, overrides, audit lineage and mapped tests are reproducible.</x:v>
      </x:c>
      <x:c r="F269" s="12" t="str">
        <x:v>v1.0.0</x:v>
      </x:c>
      <x:c r="G269" s="12" t="str">
        <x:v>Implementation-ready</x:v>
      </x:c>
    </x:row>
    <x:row r="270">
      <x:c r="A270" s="12" t="str">
        <x:v>P26-REQ-269</x:v>
      </x:c>
      <x:c r="B270" s="12" t="str">
        <x:v>Production Rate</x:v>
      </x:c>
      <x:c r="C270" s="12" t="str">
        <x:v>Must</x:v>
      </x:c>
      <x:c r="D270" s="12" t="str">
        <x:v>GrounUp shall implement governed production rate execution capability 269 using versioned Phase 25 library data, explicit quantity/production assumptions, deterministic calculation lineage, tenant security and mapped acceptance evidence.</x:v>
      </x:c>
      <x:c r="E270" s="12" t="str">
        <x:v>Capability 269 passes when inputs, library snapshot/version, formulas/rules, units, output values, rounding, scenario behavior, overrides, audit lineage and mapped tests are reproducible.</x:v>
      </x:c>
      <x:c r="F270" s="12" t="str">
        <x:v>v1.0.0</x:v>
      </x:c>
      <x:c r="G270" s="12" t="str">
        <x:v>Implementation-ready</x:v>
      </x:c>
    </x:row>
    <x:row r="271">
      <x:c r="A271" s="12" t="str">
        <x:v>P26-REQ-270</x:v>
      </x:c>
      <x:c r="B271" s="12" t="str">
        <x:v>Production Modifiers</x:v>
      </x:c>
      <x:c r="C271" s="12" t="str">
        <x:v>Must</x:v>
      </x:c>
      <x:c r="D271" s="12" t="str">
        <x:v>GrounUp shall implement governed production modifiers execution capability 270 using versioned Phase 25 library data, explicit quantity/production assumptions, deterministic calculation lineage, tenant security and mapped acceptance evidence.</x:v>
      </x:c>
      <x:c r="E271" s="12" t="str">
        <x:v>Capability 270 passes when inputs, library snapshot/version, formulas/rules, units, output values, rounding, scenario behavior, overrides, audit lineage and mapped tests are reproducible.</x:v>
      </x:c>
      <x:c r="F271" s="12" t="str">
        <x:v>v1.0.0</x:v>
      </x:c>
      <x:c r="G271" s="12" t="str">
        <x:v>Implementation-ready</x:v>
      </x:c>
    </x:row>
    <x:row r="272">
      <x:c r="A272" s="12" t="str">
        <x:v>P26-REQ-271</x:v>
      </x:c>
      <x:c r="B272" s="12" t="str">
        <x:v>Duration Calculation</x:v>
      </x:c>
      <x:c r="C272" s="12" t="str">
        <x:v>Must</x:v>
      </x:c>
      <x:c r="D272" s="12" t="str">
        <x:v>GrounUp shall implement governed duration calculation execution capability 271 using versioned Phase 25 library data, explicit quantity/production assumptions, deterministic calculation lineage, tenant security and mapped acceptance evidence.</x:v>
      </x:c>
      <x:c r="E272" s="12" t="str">
        <x:v>Capability 271 passes when inputs, library snapshot/version, formulas/rules, units, output values, rounding, scenario behavior, overrides, audit lineage and mapped tests are reproducible.</x:v>
      </x:c>
      <x:c r="F272" s="12" t="str">
        <x:v>v1.0.0</x:v>
      </x:c>
      <x:c r="G272" s="12" t="str">
        <x:v>Implementation-ready</x:v>
      </x:c>
    </x:row>
    <x:row r="273">
      <x:c r="A273" s="12" t="str">
        <x:v>P26-REQ-272</x:v>
      </x:c>
      <x:c r="B273" s="12" t="str">
        <x:v>Work Hours &amp; Shifts</x:v>
      </x:c>
      <x:c r="C273" s="12" t="str">
        <x:v>Must</x:v>
      </x:c>
      <x:c r="D273" s="12" t="str">
        <x:v>GrounUp shall implement governed work hours &amp; shifts execution capability 272 using versioned Phase 25 library data, explicit quantity/production assumptions, deterministic calculation lineage, tenant security and mapped acceptance evidence.</x:v>
      </x:c>
      <x:c r="E273" s="12" t="str">
        <x:v>Capability 272 passes when inputs, library snapshot/version, formulas/rules, units, output values, rounding, scenario behavior, overrides, audit lineage and mapped tests are reproducible.</x:v>
      </x:c>
      <x:c r="F273" s="12" t="str">
        <x:v>v1.0.0</x:v>
      </x:c>
      <x:c r="G273" s="12" t="str">
        <x:v>Implementation-ready</x:v>
      </x:c>
    </x:row>
    <x:row r="274">
      <x:c r="A274" s="12" t="str">
        <x:v>P26-REQ-273</x:v>
      </x:c>
      <x:c r="B274" s="12" t="str">
        <x:v>Mobilization</x:v>
      </x:c>
      <x:c r="C274" s="12" t="str">
        <x:v>Must</x:v>
      </x:c>
      <x:c r="D274" s="12" t="str">
        <x:v>GrounUp shall implement governed mobilization execution capability 273 using versioned Phase 25 library data, explicit quantity/production assumptions, deterministic calculation lineage, tenant security and mapped acceptance evidence.</x:v>
      </x:c>
      <x:c r="E274" s="12" t="str">
        <x:v>Capability 273 passes when inputs, library snapshot/version, formulas/rules, units, output values, rounding, scenario behavior, overrides, audit lineage and mapped tests are reproducible.</x:v>
      </x:c>
      <x:c r="F274" s="12" t="str">
        <x:v>v1.0.0</x:v>
      </x:c>
      <x:c r="G274" s="12" t="str">
        <x:v>Implementation-ready</x:v>
      </x:c>
    </x:row>
    <x:row r="275">
      <x:c r="A275" s="12" t="str">
        <x:v>P26-REQ-274</x:v>
      </x:c>
      <x:c r="B275" s="12" t="str">
        <x:v>Demobilization</x:v>
      </x:c>
      <x:c r="C275" s="12" t="str">
        <x:v>Must</x:v>
      </x:c>
      <x:c r="D275" s="12" t="str">
        <x:v>GrounUp shall implement governed demobilization execution capability 274 using versioned Phase 25 library data, explicit quantity/production assumptions, deterministic calculation lineage, tenant security and mapped acceptance evidence.</x:v>
      </x:c>
      <x:c r="E275" s="12" t="str">
        <x:v>Capability 274 passes when inputs, library snapshot/version, formulas/rules, units, output values, rounding, scenario behavior, overrides, audit lineage and mapped tests are reproducible.</x:v>
      </x:c>
      <x:c r="F275" s="12" t="str">
        <x:v>v1.0.0</x:v>
      </x:c>
      <x:c r="G275" s="12" t="str">
        <x:v>Implementation-ready</x:v>
      </x:c>
    </x:row>
    <x:row r="276">
      <x:c r="A276" s="12" t="str">
        <x:v>P26-REQ-275</x:v>
      </x:c>
      <x:c r="B276" s="12" t="str">
        <x:v>Indirect Costs</x:v>
      </x:c>
      <x:c r="C276" s="12" t="str">
        <x:v>Must</x:v>
      </x:c>
      <x:c r="D276" s="12" t="str">
        <x:v>GrounUp shall implement governed indirect costs execution capability 275 using versioned Phase 25 library data, explicit quantity/production assumptions, deterministic calculation lineage, tenant security and mapped acceptance evidence.</x:v>
      </x:c>
      <x:c r="E276" s="12" t="str">
        <x:v>Capability 275 passes when inputs, library snapshot/version, formulas/rules, units, output values, rounding, scenario behavior, overrides, audit lineage and mapped tests are reproducible.</x:v>
      </x:c>
      <x:c r="F276" s="12" t="str">
        <x:v>v1.0.0</x:v>
      </x:c>
      <x:c r="G276" s="12" t="str">
        <x:v>Implementation-ready</x:v>
      </x:c>
    </x:row>
    <x:row r="277">
      <x:c r="A277" s="12" t="str">
        <x:v>P26-REQ-276</x:v>
      </x:c>
      <x:c r="B277" s="12" t="str">
        <x:v>Contingency</x:v>
      </x:c>
      <x:c r="C277" s="12" t="str">
        <x:v>Must</x:v>
      </x:c>
      <x:c r="D277" s="12" t="str">
        <x:v>GrounUp shall implement governed contingency execution capability 276 using versioned Phase 25 library data, explicit quantity/production assumptions, deterministic calculation lineage, tenant security and mapped acceptance evidence.</x:v>
      </x:c>
      <x:c r="E277" s="12" t="str">
        <x:v>Capability 276 passes when inputs, library snapshot/version, formulas/rules, units, output values, rounding, scenario behavior, overrides, audit lineage and mapped tests are reproducible.</x:v>
      </x:c>
      <x:c r="F277" s="12" t="str">
        <x:v>v1.0.0</x:v>
      </x:c>
      <x:c r="G277" s="12" t="str">
        <x:v>Implementation-ready</x:v>
      </x:c>
    </x:row>
    <x:row r="278">
      <x:c r="A278" s="12" t="str">
        <x:v>P26-REQ-277</x:v>
      </x:c>
      <x:c r="B278" s="12" t="str">
        <x:v>Markup</x:v>
      </x:c>
      <x:c r="C278" s="12" t="str">
        <x:v>Must</x:v>
      </x:c>
      <x:c r="D278" s="12" t="str">
        <x:v>GrounUp shall implement governed markup execution capability 277 using versioned Phase 25 library data, explicit quantity/production assumptions, deterministic calculation lineage, tenant security and mapped acceptance evidence.</x:v>
      </x:c>
      <x:c r="E278" s="12" t="str">
        <x:v>Capability 277 passes when inputs, library snapshot/version, formulas/rules, units, output values, rounding, scenario behavior, overrides, audit lineage and mapped tests are reproducible.</x:v>
      </x:c>
      <x:c r="F278" s="12" t="str">
        <x:v>v1.0.0</x:v>
      </x:c>
      <x:c r="G278" s="12" t="str">
        <x:v>Implementation-ready</x:v>
      </x:c>
    </x:row>
    <x:row r="279">
      <x:c r="A279" s="12" t="str">
        <x:v>P26-REQ-278</x:v>
      </x:c>
      <x:c r="B279" s="12" t="str">
        <x:v>Overhead &amp; Profit</x:v>
      </x:c>
      <x:c r="C279" s="12" t="str">
        <x:v>Must</x:v>
      </x:c>
      <x:c r="D279" s="12" t="str">
        <x:v>GrounUp shall implement governed overhead &amp; profit execution capability 278 using versioned Phase 25 library data, explicit quantity/production assumptions, deterministic calculation lineage, tenant security and mapped acceptance evidence.</x:v>
      </x:c>
      <x:c r="E279" s="12" t="str">
        <x:v>Capability 278 passes when inputs, library snapshot/version, formulas/rules, units, output values, rounding, scenario behavior, overrides, audit lineage and mapped tests are reproducible.</x:v>
      </x:c>
      <x:c r="F279" s="12" t="str">
        <x:v>v1.0.0</x:v>
      </x:c>
      <x:c r="G279" s="12" t="str">
        <x:v>Implementation-ready</x:v>
      </x:c>
    </x:row>
    <x:row r="280">
      <x:c r="A280" s="12" t="str">
        <x:v>P26-REQ-279</x:v>
      </x:c>
      <x:c r="B280" s="12" t="str">
        <x:v>Tax &amp; Bond</x:v>
      </x:c>
      <x:c r="C280" s="12" t="str">
        <x:v>Must</x:v>
      </x:c>
      <x:c r="D280" s="12" t="str">
        <x:v>GrounUp shall implement governed tax &amp; bond execution capability 279 using versioned Phase 25 library data, explicit quantity/production assumptions, deterministic calculation lineage, tenant security and mapped acceptance evidence.</x:v>
      </x:c>
      <x:c r="E280" s="12" t="str">
        <x:v>Capability 279 passes when inputs, library snapshot/version, formulas/rules, units, output values, rounding, scenario behavior, overrides, audit lineage and mapped tests are reproducible.</x:v>
      </x:c>
      <x:c r="F280" s="12" t="str">
        <x:v>v1.0.0</x:v>
      </x:c>
      <x:c r="G280" s="12" t="str">
        <x:v>Implementation-ready</x:v>
      </x:c>
    </x:row>
    <x:row r="281">
      <x:c r="A281" s="12" t="str">
        <x:v>P26-REQ-280</x:v>
      </x:c>
      <x:c r="B281" s="12" t="str">
        <x:v>Unit Price</x:v>
      </x:c>
      <x:c r="C281" s="12" t="str">
        <x:v>Must</x:v>
      </x:c>
      <x:c r="D281" s="12" t="str">
        <x:v>GrounUp shall implement governed unit price execution capability 280 using versioned Phase 25 library data, explicit quantity/production assumptions, deterministic calculation lineage, tenant security and mapped acceptance evidence.</x:v>
      </x:c>
      <x:c r="E281" s="12" t="str">
        <x:v>Capability 280 passes when inputs, library snapshot/version, formulas/rules, units, output values, rounding, scenario behavior, overrides, audit lineage and mapped tests are reproducible.</x:v>
      </x:c>
      <x:c r="F281" s="12" t="str">
        <x:v>v1.0.0</x:v>
      </x:c>
      <x:c r="G281" s="12" t="str">
        <x:v>Implementation-ready</x:v>
      </x:c>
    </x:row>
    <x:row r="282">
      <x:c r="A282" s="12" t="str">
        <x:v>P26-REQ-281</x:v>
      </x:c>
      <x:c r="B282" s="12" t="str">
        <x:v>Bid Price</x:v>
      </x:c>
      <x:c r="C282" s="12" t="str">
        <x:v>Must</x:v>
      </x:c>
      <x:c r="D282" s="12" t="str">
        <x:v>GrounUp shall implement governed bid price execution capability 281 using versioned Phase 25 library data, explicit quantity/production assumptions, deterministic calculation lineage, tenant security and mapped acceptance evidence.</x:v>
      </x:c>
      <x:c r="E282" s="12" t="str">
        <x:v>Capability 281 passes when inputs, library snapshot/version, formulas/rules, units, output values, rounding, scenario behavior, overrides, audit lineage and mapped tests are reproducible.</x:v>
      </x:c>
      <x:c r="F282" s="12" t="str">
        <x:v>v1.0.0</x:v>
      </x:c>
      <x:c r="G282" s="12" t="str">
        <x:v>Implementation-ready</x:v>
      </x:c>
    </x:row>
    <x:row r="283">
      <x:c r="A283" s="12" t="str">
        <x:v>P26-REQ-282</x:v>
      </x:c>
      <x:c r="B283" s="12" t="str">
        <x:v>Low/High Range</x:v>
      </x:c>
      <x:c r="C283" s="12" t="str">
        <x:v>Must</x:v>
      </x:c>
      <x:c r="D283" s="12" t="str">
        <x:v>GrounUp shall implement governed low/high range execution capability 282 using versioned Phase 25 library data, explicit quantity/production assumptions, deterministic calculation lineage, tenant security and mapped acceptance evidence.</x:v>
      </x:c>
      <x:c r="E283" s="12" t="str">
        <x:v>Capability 282 passes when inputs, library snapshot/version, formulas/rules, units, output values, rounding, scenario behavior, overrides, audit lineage and mapped tests are reproducible.</x:v>
      </x:c>
      <x:c r="F283" s="12" t="str">
        <x:v>v1.0.0</x:v>
      </x:c>
      <x:c r="G283" s="12" t="str">
        <x:v>Implementation-ready</x:v>
      </x:c>
    </x:row>
    <x:row r="284">
      <x:c r="A284" s="12" t="str">
        <x:v>P26-REQ-283</x:v>
      </x:c>
      <x:c r="B284" s="12" t="str">
        <x:v>Scenario Comparison</x:v>
      </x:c>
      <x:c r="C284" s="12" t="str">
        <x:v>Must</x:v>
      </x:c>
      <x:c r="D284" s="12" t="str">
        <x:v>GrounUp shall implement governed scenario comparison execution capability 283 using versioned Phase 25 library data, explicit quantity/production assumptions, deterministic calculation lineage, tenant security and mapped acceptance evidence.</x:v>
      </x:c>
      <x:c r="E284" s="12" t="str">
        <x:v>Capability 283 passes when inputs, library snapshot/version, formulas/rules, units, output values, rounding, scenario behavior, overrides, audit lineage and mapped tests are reproducible.</x:v>
      </x:c>
      <x:c r="F284" s="12" t="str">
        <x:v>v1.0.0</x:v>
      </x:c>
      <x:c r="G284" s="12" t="str">
        <x:v>Implementation-ready</x:v>
      </x:c>
    </x:row>
    <x:row r="285">
      <x:c r="A285" s="12" t="str">
        <x:v>P26-REQ-284</x:v>
      </x:c>
      <x:c r="B285" s="12" t="str">
        <x:v>Estimate Confidence</x:v>
      </x:c>
      <x:c r="C285" s="12" t="str">
        <x:v>Must</x:v>
      </x:c>
      <x:c r="D285" s="12" t="str">
        <x:v>GrounUp shall implement governed estimate confidence execution capability 284 using versioned Phase 25 library data, explicit quantity/production assumptions, deterministic calculation lineage, tenant security and mapped acceptance evidence.</x:v>
      </x:c>
      <x:c r="E285" s="12" t="str">
        <x:v>Capability 284 passes when inputs, library snapshot/version, formulas/rules, units, output values, rounding, scenario behavior, overrides, audit lineage and mapped tests are reproducible.</x:v>
      </x:c>
      <x:c r="F285" s="12" t="str">
        <x:v>v1.0.0</x:v>
      </x:c>
      <x:c r="G285" s="12" t="str">
        <x:v>Implementation-ready</x:v>
      </x:c>
    </x:row>
    <x:row r="286">
      <x:c r="A286" s="12" t="str">
        <x:v>P26-REQ-285</x:v>
      </x:c>
      <x:c r="B286" s="12" t="str">
        <x:v>Regional Pricing</x:v>
      </x:c>
      <x:c r="C286" s="12" t="str">
        <x:v>Must</x:v>
      </x:c>
      <x:c r="D286" s="12" t="str">
        <x:v>GrounUp shall implement governed regional pricing execution capability 285 using versioned Phase 25 library data, explicit quantity/production assumptions, deterministic calculation lineage, tenant security and mapped acceptance evidence.</x:v>
      </x:c>
      <x:c r="E286" s="12" t="str">
        <x:v>Capability 285 passes when inputs, library snapshot/version, formulas/rules, units, output values, rounding, scenario behavior, overrides, audit lineage and mapped tests are reproducible.</x:v>
      </x:c>
      <x:c r="F286" s="12" t="str">
        <x:v>v1.0.0</x:v>
      </x:c>
      <x:c r="G286" s="12" t="str">
        <x:v>Implementation-ready</x:v>
      </x:c>
    </x:row>
    <x:row r="287">
      <x:c r="A287" s="12" t="str">
        <x:v>P26-REQ-286</x:v>
      </x:c>
      <x:c r="B287" s="12" t="str">
        <x:v>Vendor Quote Override</x:v>
      </x:c>
      <x:c r="C287" s="12" t="str">
        <x:v>Must</x:v>
      </x:c>
      <x:c r="D287" s="12" t="str">
        <x:v>GrounUp shall implement governed vendor quote override execution capability 286 using versioned Phase 25 library data, explicit quantity/production assumptions, deterministic calculation lineage, tenant security and mapped acceptance evidence.</x:v>
      </x:c>
      <x:c r="E287" s="12" t="str">
        <x:v>Capability 286 passes when inputs, library snapshot/version, formulas/rules, units, output values, rounding, scenario behavior, overrides, audit lineage and mapped tests are reproducible.</x:v>
      </x:c>
      <x:c r="F287" s="12" t="str">
        <x:v>v1.0.0</x:v>
      </x:c>
      <x:c r="G287" s="12" t="str">
        <x:v>Implementation-ready</x:v>
      </x:c>
    </x:row>
    <x:row r="288">
      <x:c r="A288" s="12" t="str">
        <x:v>P26-REQ-287</x:v>
      </x:c>
      <x:c r="B288" s="12" t="str">
        <x:v>Snapshot Reproducibility</x:v>
      </x:c>
      <x:c r="C288" s="12" t="str">
        <x:v>Must</x:v>
      </x:c>
      <x:c r="D288" s="12" t="str">
        <x:v>GrounUp shall implement governed snapshot reproducibility execution capability 287 using versioned Phase 25 library data, explicit quantity/production assumptions, deterministic calculation lineage, tenant security and mapped acceptance evidence.</x:v>
      </x:c>
      <x:c r="E288" s="12" t="str">
        <x:v>Capability 287 passes when inputs, library snapshot/version, formulas/rules, units, output values, rounding, scenario behavior, overrides, audit lineage and mapped tests are reproducible.</x:v>
      </x:c>
      <x:c r="F288" s="12" t="str">
        <x:v>v1.0.0</x:v>
      </x:c>
      <x:c r="G288" s="12" t="str">
        <x:v>Implementation-ready</x:v>
      </x:c>
    </x:row>
    <x:row r="289">
      <x:c r="A289" s="12" t="str">
        <x:v>P26-REQ-288</x:v>
      </x:c>
      <x:c r="B289" s="12" t="str">
        <x:v>Service Catalog Writeback</x:v>
      </x:c>
      <x:c r="C289" s="12" t="str">
        <x:v>Must</x:v>
      </x:c>
      <x:c r="D289" s="12" t="str">
        <x:v>GrounUp shall implement governed service catalog writeback execution capability 288 using versioned Phase 25 library data, explicit quantity/production assumptions, deterministic calculation lineage, tenant security and mapped acceptance evidence.</x:v>
      </x:c>
      <x:c r="E289" s="12" t="str">
        <x:v>Capability 288 passes when inputs, library snapshot/version, formulas/rules, units, output values, rounding, scenario behavior, overrides, audit lineage and mapped tests are reproducible.</x:v>
      </x:c>
      <x:c r="F289" s="12" t="str">
        <x:v>v1.0.0</x:v>
      </x:c>
      <x:c r="G289" s="12" t="str">
        <x:v>Implementation-ready</x:v>
      </x:c>
    </x:row>
    <x:row r="290">
      <x:c r="A290" s="12" t="str">
        <x:v>P26-REQ-289</x:v>
      </x:c>
      <x:c r="B290" s="12" t="str">
        <x:v>AI Estimate Assist</x:v>
      </x:c>
      <x:c r="C290" s="12" t="str">
        <x:v>Must</x:v>
      </x:c>
      <x:c r="D290" s="12" t="str">
        <x:v>GrounUp shall implement governed ai estimate assist execution capability 289 using versioned Phase 25 library data, explicit quantity/production assumptions, deterministic calculation lineage, tenant security and mapped acceptance evidence.</x:v>
      </x:c>
      <x:c r="E290" s="12" t="str">
        <x:v>Capability 289 passes when inputs, library snapshot/version, formulas/rules, units, output values, rounding, scenario behavior, overrides, audit lineage and mapped tests are reproducible.</x:v>
      </x:c>
      <x:c r="F290" s="12" t="str">
        <x:v>v1.0.0</x:v>
      </x:c>
      <x:c r="G290" s="12" t="str">
        <x:v>Implementation-ready</x:v>
      </x:c>
    </x:row>
    <x:row r="291">
      <x:c r="A291" s="12" t="str">
        <x:v>P26-REQ-290</x:v>
      </x:c>
      <x:c r="B291" s="12" t="str">
        <x:v>Estimate Review &amp; Approval</x:v>
      </x:c>
      <x:c r="C291" s="12" t="str">
        <x:v>Must</x:v>
      </x:c>
      <x:c r="D291" s="12" t="str">
        <x:v>GrounUp shall implement governed estimate review &amp; approval execution capability 290 using versioned Phase 25 library data, explicit quantity/production assumptions, deterministic calculation lineage, tenant security and mapped acceptance evidence.</x:v>
      </x:c>
      <x:c r="E291" s="12" t="str">
        <x:v>Capability 290 passes when inputs, library snapshot/version, formulas/rules, units, output values, rounding, scenario behavior, overrides, audit lineage and mapped tests are reproducible.</x:v>
      </x:c>
      <x:c r="F291" s="12" t="str">
        <x:v>v1.0.0</x:v>
      </x:c>
      <x:c r="G291" s="12" t="str">
        <x:v>Implementation-ready</x:v>
      </x:c>
    </x:row>
    <x:row r="292">
      <x:c r="A292" s="12" t="str">
        <x:v>P26-REQ-291</x:v>
      </x:c>
      <x:c r="B292" s="12" t="str">
        <x:v>Estimate Export</x:v>
      </x:c>
      <x:c r="C292" s="12" t="str">
        <x:v>Must</x:v>
      </x:c>
      <x:c r="D292" s="12" t="str">
        <x:v>GrounUp shall implement governed estimate export execution capability 291 using versioned Phase 25 library data, explicit quantity/production assumptions, deterministic calculation lineage, tenant security and mapped acceptance evidence.</x:v>
      </x:c>
      <x:c r="E292" s="12" t="str">
        <x:v>Capability 291 passes when inputs, library snapshot/version, formulas/rules, units, output values, rounding, scenario behavior, overrides, audit lineage and mapped tests are reproducible.</x:v>
      </x:c>
      <x:c r="F292" s="12" t="str">
        <x:v>v1.0.0</x:v>
      </x:c>
      <x:c r="G292" s="12" t="str">
        <x:v>Implementation-ready</x:v>
      </x:c>
    </x:row>
    <x:row r="293">
      <x:c r="A293" s="12" t="str">
        <x:v>P26-REQ-292</x:v>
      </x:c>
      <x:c r="B293" s="12" t="str">
        <x:v>Proposal Handoff</x:v>
      </x:c>
      <x:c r="C293" s="12" t="str">
        <x:v>Must</x:v>
      </x:c>
      <x:c r="D293" s="12" t="str">
        <x:v>GrounUp shall implement governed proposal handoff execution capability 292 using versioned Phase 25 library data, explicit quantity/production assumptions, deterministic calculation lineage, tenant security and mapped acceptance evidence.</x:v>
      </x:c>
      <x:c r="E293" s="12" t="str">
        <x:v>Capability 292 passes when inputs, library snapshot/version, formulas/rules, units, output values, rounding, scenario behavior, overrides, audit lineage and mapped tests are reproducible.</x:v>
      </x:c>
      <x:c r="F293" s="12" t="str">
        <x:v>v1.0.0</x:v>
      </x:c>
      <x:c r="G293" s="12" t="str">
        <x:v>Implementation-ready</x:v>
      </x:c>
    </x:row>
    <x:row r="294">
      <x:c r="A294" s="12" t="str">
        <x:v>P26-REQ-293</x:v>
      </x:c>
      <x:c r="B294" s="12" t="str">
        <x:v>Job Cost Baseline</x:v>
      </x:c>
      <x:c r="C294" s="12" t="str">
        <x:v>Must</x:v>
      </x:c>
      <x:c r="D294" s="12" t="str">
        <x:v>GrounUp shall implement governed job cost baseline execution capability 293 using versioned Phase 25 library data, explicit quantity/production assumptions, deterministic calculation lineage, tenant security and mapped acceptance evidence.</x:v>
      </x:c>
      <x:c r="E294" s="12" t="str">
        <x:v>Capability 293 passes when inputs, library snapshot/version, formulas/rules, units, output values, rounding, scenario behavior, overrides, audit lineage and mapped tests are reproducible.</x:v>
      </x:c>
      <x:c r="F294" s="12" t="str">
        <x:v>v1.0.0</x:v>
      </x:c>
      <x:c r="G294" s="12" t="str">
        <x:v>Implementation-ready</x:v>
      </x:c>
    </x:row>
    <x:row r="295">
      <x:c r="A295" s="12" t="str">
        <x:v>P26-REQ-294</x:v>
      </x:c>
      <x:c r="B295" s="12" t="str">
        <x:v>Audit &amp; Traceability</x:v>
      </x:c>
      <x:c r="C295" s="12" t="str">
        <x:v>Must</x:v>
      </x:c>
      <x:c r="D295" s="12" t="str">
        <x:v>GrounUp shall implement governed audit &amp; traceability execution capability 294 using versioned Phase 25 library data, explicit quantity/production assumptions, deterministic calculation lineage, tenant security and mapped acceptance evidence.</x:v>
      </x:c>
      <x:c r="E295" s="12" t="str">
        <x:v>Capability 294 passes when inputs, library snapshot/version, formulas/rules, units, output values, rounding, scenario behavior, overrides, audit lineage and mapped tests are reproducible.</x:v>
      </x:c>
      <x:c r="F295" s="12" t="str">
        <x:v>v1.0.0</x:v>
      </x:c>
      <x:c r="G295" s="12" t="str">
        <x:v>Implementation-ready</x:v>
      </x:c>
    </x:row>
    <x:row r="296">
      <x:c r="A296" s="12" t="str">
        <x:v>P26-REQ-295</x:v>
      </x:c>
      <x:c r="B296" s="12" t="str">
        <x:v>Estimate Lifecycle</x:v>
      </x:c>
      <x:c r="C296" s="12" t="str">
        <x:v>Must</x:v>
      </x:c>
      <x:c r="D296" s="12" t="str">
        <x:v>GrounUp shall implement governed estimate lifecycle execution capability 295 using versioned Phase 25 library data, explicit quantity/production assumptions, deterministic calculation lineage, tenant security and mapped acceptance evidence.</x:v>
      </x:c>
      <x:c r="E296" s="12" t="str">
        <x:v>Capability 295 passes when inputs, library snapshot/version, formulas/rules, units, output values, rounding, scenario behavior, overrides, audit lineage and mapped tests are reproducible.</x:v>
      </x:c>
      <x:c r="F296" s="12" t="str">
        <x:v>v1.0.0</x:v>
      </x:c>
      <x:c r="G296" s="12" t="str">
        <x:v>Implementation-ready</x:v>
      </x:c>
    </x:row>
    <x:row r="297">
      <x:c r="A297" s="12" t="str">
        <x:v>P26-REQ-296</x:v>
      </x:c>
      <x:c r="B297" s="12" t="str">
        <x:v>Estimate Versions</x:v>
      </x:c>
      <x:c r="C297" s="12" t="str">
        <x:v>Must</x:v>
      </x:c>
      <x:c r="D297" s="12" t="str">
        <x:v>GrounUp shall implement governed estimate versions execution capability 296 using versioned Phase 25 library data, explicit quantity/production assumptions, deterministic calculation lineage, tenant security and mapped acceptance evidence.</x:v>
      </x:c>
      <x:c r="E297" s="12" t="str">
        <x:v>Capability 296 passes when inputs, library snapshot/version, formulas/rules, units, output values, rounding, scenario behavior, overrides, audit lineage and mapped tests are reproducible.</x:v>
      </x:c>
      <x:c r="F297" s="12" t="str">
        <x:v>v1.0.0</x:v>
      </x:c>
      <x:c r="G297" s="12" t="str">
        <x:v>Implementation-ready</x:v>
      </x:c>
    </x:row>
    <x:row r="298">
      <x:c r="A298" s="12" t="str">
        <x:v>P26-REQ-297</x:v>
      </x:c>
      <x:c r="B298" s="12" t="str">
        <x:v>Estimate Templates</x:v>
      </x:c>
      <x:c r="C298" s="12" t="str">
        <x:v>Must</x:v>
      </x:c>
      <x:c r="D298" s="12" t="str">
        <x:v>GrounUp shall implement governed estimate templates execution capability 297 using versioned Phase 25 library data, explicit quantity/production assumptions, deterministic calculation lineage, tenant security and mapped acceptance evidence.</x:v>
      </x:c>
      <x:c r="E298" s="12" t="str">
        <x:v>Capability 297 passes when inputs, library snapshot/version, formulas/rules, units, output values, rounding, scenario behavior, overrides, audit lineage and mapped tests are reproducible.</x:v>
      </x:c>
      <x:c r="F298" s="12" t="str">
        <x:v>v1.0.0</x:v>
      </x:c>
      <x:c r="G298" s="12" t="str">
        <x:v>Implementation-ready</x:v>
      </x:c>
    </x:row>
    <x:row r="299">
      <x:c r="A299" s="12" t="str">
        <x:v>P26-REQ-298</x:v>
      </x:c>
      <x:c r="B299" s="12" t="str">
        <x:v>Service Selection</x:v>
      </x:c>
      <x:c r="C299" s="12" t="str">
        <x:v>Must</x:v>
      </x:c>
      <x:c r="D299" s="12" t="str">
        <x:v>GrounUp shall implement governed service selection execution capability 298 using versioned Phase 25 library data, explicit quantity/production assumptions, deterministic calculation lineage, tenant security and mapped acceptance evidence.</x:v>
      </x:c>
      <x:c r="E299" s="12" t="str">
        <x:v>Capability 298 passes when inputs, library snapshot/version, formulas/rules, units, output values, rounding, scenario behavior, overrides, audit lineage and mapped tests are reproducible.</x:v>
      </x:c>
      <x:c r="F299" s="12" t="str">
        <x:v>v1.0.0</x:v>
      </x:c>
      <x:c r="G299" s="12" t="str">
        <x:v>Implementation-ready</x:v>
      </x:c>
    </x:row>
    <x:row r="300">
      <x:c r="A300" s="12" t="str">
        <x:v>P26-REQ-299</x:v>
      </x:c>
      <x:c r="B300" s="12" t="str">
        <x:v>Assembly Expansion</x:v>
      </x:c>
      <x:c r="C300" s="12" t="str">
        <x:v>Must</x:v>
      </x:c>
      <x:c r="D300" s="12" t="str">
        <x:v>GrounUp shall implement governed assembly expansion execution capability 299 using versioned Phase 25 library data, explicit quantity/production assumptions, deterministic calculation lineage, tenant security and mapped acceptance evidence.</x:v>
      </x:c>
      <x:c r="E300" s="12" t="str">
        <x:v>Capability 299 passes when inputs, library snapshot/version, formulas/rules, units, output values, rounding, scenario behavior, overrides, audit lineage and mapped tests are reproducible.</x:v>
      </x:c>
      <x:c r="F300" s="12" t="str">
        <x:v>v1.0.0</x:v>
      </x:c>
      <x:c r="G300" s="12" t="str">
        <x:v>Implementation-ready</x:v>
      </x:c>
    </x:row>
    <x:row r="301">
      <x:c r="A301" s="12" t="str">
        <x:v>P26-REQ-300</x:v>
      </x:c>
      <x:c r="B301" s="12" t="str">
        <x:v>Quantity Input</x:v>
      </x:c>
      <x:c r="C301" s="12" t="str">
        <x:v>Must</x:v>
      </x:c>
      <x:c r="D301" s="12" t="str">
        <x:v>GrounUp shall implement governed quantity input execution capability 300 using versioned Phase 25 library data, explicit quantity/production assumptions, deterministic calculation lineage, tenant security and mapped acceptance evidence.</x:v>
      </x:c>
      <x:c r="E301" s="12" t="str">
        <x:v>Capability 300 passes when inputs, library snapshot/version, formulas/rules, units, output values, rounding, scenario behavior, overrides, audit lineage and mapped tests are reproducible.</x:v>
      </x:c>
      <x:c r="F301" s="12" t="str">
        <x:v>v1.0.0</x:v>
      </x:c>
      <x:c r="G301" s="12" t="str">
        <x:v>Implementation-ready</x:v>
      </x:c>
    </x:row>
    <x:row r="302">
      <x:c r="A302" s="12" t="str">
        <x:v>P26-REQ-301</x:v>
      </x:c>
      <x:c r="B302" s="12" t="str">
        <x:v>Quantity Takeoff Intake</x:v>
      </x:c>
      <x:c r="C302" s="12" t="str">
        <x:v>Must</x:v>
      </x:c>
      <x:c r="D302" s="12" t="str">
        <x:v>GrounUp shall implement governed quantity takeoff intake execution capability 301 using versioned Phase 25 library data, explicit quantity/production assumptions, deterministic calculation lineage, tenant security and mapped acceptance evidence.</x:v>
      </x:c>
      <x:c r="E302" s="12" t="str">
        <x:v>Capability 301 passes when inputs, library snapshot/version, formulas/rules, units, output values, rounding, scenario behavior, overrides, audit lineage and mapped tests are reproducible.</x:v>
      </x:c>
      <x:c r="F302" s="12" t="str">
        <x:v>v1.0.0</x:v>
      </x:c>
      <x:c r="G302" s="12" t="str">
        <x:v>Implementation-ready</x:v>
      </x:c>
    </x:row>
    <x:row r="303">
      <x:c r="A303" s="12" t="str">
        <x:v>P26-REQ-302</x:v>
      </x:c>
      <x:c r="B303" s="12" t="str">
        <x:v>Labor Cost</x:v>
      </x:c>
      <x:c r="C303" s="12" t="str">
        <x:v>Must</x:v>
      </x:c>
      <x:c r="D303" s="12" t="str">
        <x:v>GrounUp shall implement governed labor cost execution capability 302 using versioned Phase 25 library data, explicit quantity/production assumptions, deterministic calculation lineage, tenant security and mapped acceptance evidence.</x:v>
      </x:c>
      <x:c r="E303" s="12" t="str">
        <x:v>Capability 302 passes when inputs, library snapshot/version, formulas/rules, units, output values, rounding, scenario behavior, overrides, audit lineage and mapped tests are reproducible.</x:v>
      </x:c>
      <x:c r="F303" s="12" t="str">
        <x:v>v1.0.0</x:v>
      </x:c>
      <x:c r="G303" s="12" t="str">
        <x:v>Implementation-ready</x:v>
      </x:c>
    </x:row>
    <x:row r="304">
      <x:c r="A304" s="12" t="str">
        <x:v>P26-REQ-303</x:v>
      </x:c>
      <x:c r="B304" s="12" t="str">
        <x:v>Labor Burden</x:v>
      </x:c>
      <x:c r="C304" s="12" t="str">
        <x:v>Must</x:v>
      </x:c>
      <x:c r="D304" s="12" t="str">
        <x:v>GrounUp shall implement governed labor burden execution capability 303 using versioned Phase 25 library data, explicit quantity/production assumptions, deterministic calculation lineage, tenant security and mapped acceptance evidence.</x:v>
      </x:c>
      <x:c r="E304" s="12" t="str">
        <x:v>Capability 303 passes when inputs, library snapshot/version, formulas/rules, units, output values, rounding, scenario behavior, overrides, audit lineage and mapped tests are reproducible.</x:v>
      </x:c>
      <x:c r="F304" s="12" t="str">
        <x:v>v1.0.0</x:v>
      </x:c>
      <x:c r="G304" s="12" t="str">
        <x:v>Implementation-ready</x:v>
      </x:c>
    </x:row>
    <x:row r="305">
      <x:c r="A305" s="12" t="str">
        <x:v>P26-REQ-304</x:v>
      </x:c>
      <x:c r="B305" s="12" t="str">
        <x:v>Crew Composition</x:v>
      </x:c>
      <x:c r="C305" s="12" t="str">
        <x:v>Must</x:v>
      </x:c>
      <x:c r="D305" s="12" t="str">
        <x:v>GrounUp shall implement governed crew composition execution capability 304 using versioned Phase 25 library data, explicit quantity/production assumptions, deterministic calculation lineage, tenant security and mapped acceptance evidence.</x:v>
      </x:c>
      <x:c r="E305" s="12" t="str">
        <x:v>Capability 304 passes when inputs, library snapshot/version, formulas/rules, units, output values, rounding, scenario behavior, overrides, audit lineage and mapped tests are reproducible.</x:v>
      </x:c>
      <x:c r="F305" s="12" t="str">
        <x:v>v1.0.0</x:v>
      </x:c>
      <x:c r="G305" s="12" t="str">
        <x:v>Implementation-ready</x:v>
      </x:c>
    </x:row>
    <x:row r="306">
      <x:c r="A306" s="12" t="str">
        <x:v>P26-REQ-305</x:v>
      </x:c>
      <x:c r="B306" s="12" t="str">
        <x:v>Crew Size Recommendation</x:v>
      </x:c>
      <x:c r="C306" s="12" t="str">
        <x:v>Must</x:v>
      </x:c>
      <x:c r="D306" s="12" t="str">
        <x:v>GrounUp shall implement governed crew size recommendation execution capability 305 using versioned Phase 25 library data, explicit quantity/production assumptions, deterministic calculation lineage, tenant security and mapped acceptance evidence.</x:v>
      </x:c>
      <x:c r="E306" s="12" t="str">
        <x:v>Capability 305 passes when inputs, library snapshot/version, formulas/rules, units, output values, rounding, scenario behavior, overrides, audit lineage and mapped tests are reproducible.</x:v>
      </x:c>
      <x:c r="F306" s="12" t="str">
        <x:v>v1.0.0</x:v>
      </x:c>
      <x:c r="G306" s="12" t="str">
        <x:v>Implementation-ready</x:v>
      </x:c>
    </x:row>
    <x:row r="307">
      <x:c r="A307" s="12" t="str">
        <x:v>P26-REQ-306</x:v>
      </x:c>
      <x:c r="B307" s="12" t="str">
        <x:v>Equipment Selection</x:v>
      </x:c>
      <x:c r="C307" s="12" t="str">
        <x:v>Must</x:v>
      </x:c>
      <x:c r="D307" s="12" t="str">
        <x:v>GrounUp shall implement governed equipment selection execution capability 306 using versioned Phase 25 library data, explicit quantity/production assumptions, deterministic calculation lineage, tenant security and mapped acceptance evidence.</x:v>
      </x:c>
      <x:c r="E307" s="12" t="str">
        <x:v>Capability 306 passes when inputs, library snapshot/version, formulas/rules, units, output values, rounding, scenario behavior, overrides, audit lineage and mapped tests are reproducible.</x:v>
      </x:c>
      <x:c r="F307" s="12" t="str">
        <x:v>v1.0.0</x:v>
      </x:c>
      <x:c r="G307" s="12" t="str">
        <x:v>Implementation-ready</x:v>
      </x:c>
    </x:row>
    <x:row r="308">
      <x:c r="A308" s="12" t="str">
        <x:v>P26-REQ-307</x:v>
      </x:c>
      <x:c r="B308" s="12" t="str">
        <x:v>Equipment Cost</x:v>
      </x:c>
      <x:c r="C308" s="12" t="str">
        <x:v>Must</x:v>
      </x:c>
      <x:c r="D308" s="12" t="str">
        <x:v>GrounUp shall implement governed equipment cost execution capability 307 using versioned Phase 25 library data, explicit quantity/production assumptions, deterministic calculation lineage, tenant security and mapped acceptance evidence.</x:v>
      </x:c>
      <x:c r="E308" s="12" t="str">
        <x:v>Capability 307 passes when inputs, library snapshot/version, formulas/rules, units, output values, rounding, scenario behavior, overrides, audit lineage and mapped tests are reproducible.</x:v>
      </x:c>
      <x:c r="F308" s="12" t="str">
        <x:v>v1.0.0</x:v>
      </x:c>
      <x:c r="G308" s="12" t="str">
        <x:v>Implementation-ready</x:v>
      </x:c>
    </x:row>
    <x:row r="309">
      <x:c r="A309" s="12" t="str">
        <x:v>P26-REQ-308</x:v>
      </x:c>
      <x:c r="B309" s="12" t="str">
        <x:v>Equipment Rate Selection</x:v>
      </x:c>
      <x:c r="C309" s="12" t="str">
        <x:v>Must</x:v>
      </x:c>
      <x:c r="D309" s="12" t="str">
        <x:v>GrounUp shall implement governed equipment rate selection execution capability 308 using versioned Phase 25 library data, explicit quantity/production assumptions, deterministic calculation lineage, tenant security and mapped acceptance evidence.</x:v>
      </x:c>
      <x:c r="E309" s="12" t="str">
        <x:v>Capability 308 passes when inputs, library snapshot/version, formulas/rules, units, output values, rounding, scenario behavior, overrides, audit lineage and mapped tests are reproducible.</x:v>
      </x:c>
      <x:c r="F309" s="12" t="str">
        <x:v>v1.0.0</x:v>
      </x:c>
      <x:c r="G309" s="12" t="str">
        <x:v>Implementation-ready</x:v>
      </x:c>
    </x:row>
    <x:row r="310">
      <x:c r="A310" s="12" t="str">
        <x:v>P26-REQ-309</x:v>
      </x:c>
      <x:c r="B310" s="12" t="str">
        <x:v>Fuel Consumption</x:v>
      </x:c>
      <x:c r="C310" s="12" t="str">
        <x:v>Must</x:v>
      </x:c>
      <x:c r="D310" s="12" t="str">
        <x:v>GrounUp shall implement governed fuel consumption execution capability 309 using versioned Phase 25 library data, explicit quantity/production assumptions, deterministic calculation lineage, tenant security and mapped acceptance evidence.</x:v>
      </x:c>
      <x:c r="E310" s="12" t="str">
        <x:v>Capability 309 passes when inputs, library snapshot/version, formulas/rules, units, output values, rounding, scenario behavior, overrides, audit lineage and mapped tests are reproducible.</x:v>
      </x:c>
      <x:c r="F310" s="12" t="str">
        <x:v>v1.0.0</x:v>
      </x:c>
      <x:c r="G310" s="12" t="str">
        <x:v>Implementation-ready</x:v>
      </x:c>
    </x:row>
    <x:row r="311">
      <x:c r="A311" s="12" t="str">
        <x:v>P26-REQ-310</x:v>
      </x:c>
      <x:c r="B311" s="12" t="str">
        <x:v>Truck Selection</x:v>
      </x:c>
      <x:c r="C311" s="12" t="str">
        <x:v>Must</x:v>
      </x:c>
      <x:c r="D311" s="12" t="str">
        <x:v>GrounUp shall implement governed truck selection execution capability 310 using versioned Phase 25 library data, explicit quantity/production assumptions, deterministic calculation lineage, tenant security and mapped acceptance evidence.</x:v>
      </x:c>
      <x:c r="E311" s="12" t="str">
        <x:v>Capability 310 passes when inputs, library snapshot/version, formulas/rules, units, output values, rounding, scenario behavior, overrides, audit lineage and mapped tests are reproducible.</x:v>
      </x:c>
      <x:c r="F311" s="12" t="str">
        <x:v>v1.0.0</x:v>
      </x:c>
      <x:c r="G311" s="12" t="str">
        <x:v>Implementation-ready</x:v>
      </x:c>
    </x:row>
    <x:row r="312">
      <x:c r="A312" s="12" t="str">
        <x:v>P26-REQ-311</x:v>
      </x:c>
      <x:c r="B312" s="12" t="str">
        <x:v>Truck Cycle Calculation</x:v>
      </x:c>
      <x:c r="C312" s="12" t="str">
        <x:v>Must</x:v>
      </x:c>
      <x:c r="D312" s="12" t="str">
        <x:v>GrounUp shall implement governed truck cycle calculation execution capability 311 using versioned Phase 25 library data, explicit quantity/production assumptions, deterministic calculation lineage, tenant security and mapped acceptance evidence.</x:v>
      </x:c>
      <x:c r="E312" s="12" t="str">
        <x:v>Capability 311 passes when inputs, library snapshot/version, formulas/rules, units, output values, rounding, scenario behavior, overrides, audit lineage and mapped tests are reproducible.</x:v>
      </x:c>
      <x:c r="F312" s="12" t="str">
        <x:v>v1.0.0</x:v>
      </x:c>
      <x:c r="G312" s="12" t="str">
        <x:v>Implementation-ready</x:v>
      </x:c>
    </x:row>
    <x:row r="313">
      <x:c r="A313" s="12" t="str">
        <x:v>P26-REQ-312</x:v>
      </x:c>
      <x:c r="B313" s="12" t="str">
        <x:v>Truck Count</x:v>
      </x:c>
      <x:c r="C313" s="12" t="str">
        <x:v>Must</x:v>
      </x:c>
      <x:c r="D313" s="12" t="str">
        <x:v>GrounUp shall implement governed truck count execution capability 312 using versioned Phase 25 library data, explicit quantity/production assumptions, deterministic calculation lineage, tenant security and mapped acceptance evidence.</x:v>
      </x:c>
      <x:c r="E313" s="12" t="str">
        <x:v>Capability 312 passes when inputs, library snapshot/version, formulas/rules, units, output values, rounding, scenario behavior, overrides, audit lineage and mapped tests are reproducible.</x:v>
      </x:c>
      <x:c r="F313" s="12" t="str">
        <x:v>v1.0.0</x:v>
      </x:c>
      <x:c r="G313" s="12" t="str">
        <x:v>Implementation-ready</x:v>
      </x:c>
    </x:row>
    <x:row r="314">
      <x:c r="A314" s="12" t="str">
        <x:v>P26-REQ-313</x:v>
      </x:c>
      <x:c r="B314" s="12" t="str">
        <x:v>Haul Distance</x:v>
      </x:c>
      <x:c r="C314" s="12" t="str">
        <x:v>Must</x:v>
      </x:c>
      <x:c r="D314" s="12" t="str">
        <x:v>GrounUp shall implement governed haul distance execution capability 313 using versioned Phase 25 library data, explicit quantity/production assumptions, deterministic calculation lineage, tenant security and mapped acceptance evidence.</x:v>
      </x:c>
      <x:c r="E314" s="12" t="str">
        <x:v>Capability 313 passes when inputs, library snapshot/version, formulas/rules, units, output values, rounding, scenario behavior, overrides, audit lineage and mapped tests are reproducible.</x:v>
      </x:c>
      <x:c r="F314" s="12" t="str">
        <x:v>v1.0.0</x:v>
      </x:c>
      <x:c r="G314" s="12" t="str">
        <x:v>Implementation-ready</x:v>
      </x:c>
    </x:row>
    <x:row r="315">
      <x:c r="A315" s="12" t="str">
        <x:v>P26-REQ-314</x:v>
      </x:c>
      <x:c r="B315" s="12" t="str">
        <x:v>Disposal Cost</x:v>
      </x:c>
      <x:c r="C315" s="12" t="str">
        <x:v>Must</x:v>
      </x:c>
      <x:c r="D315" s="12" t="str">
        <x:v>GrounUp shall implement governed disposal cost execution capability 314 using versioned Phase 25 library data, explicit quantity/production assumptions, deterministic calculation lineage, tenant security and mapped acceptance evidence.</x:v>
      </x:c>
      <x:c r="E315" s="12" t="str">
        <x:v>Capability 314 passes when inputs, library snapshot/version, formulas/rules, units, output values, rounding, scenario behavior, overrides, audit lineage and mapped tests are reproducible.</x:v>
      </x:c>
      <x:c r="F315" s="12" t="str">
        <x:v>v1.0.0</x:v>
      </x:c>
      <x:c r="G315" s="12" t="str">
        <x:v>Implementation-ready</x:v>
      </x:c>
    </x:row>
    <x:row r="316">
      <x:c r="A316" s="12" t="str">
        <x:v>P26-REQ-315</x:v>
      </x:c>
      <x:c r="B316" s="12" t="str">
        <x:v>Material Cost</x:v>
      </x:c>
      <x:c r="C316" s="12" t="str">
        <x:v>Must</x:v>
      </x:c>
      <x:c r="D316" s="12" t="str">
        <x:v>GrounUp shall implement governed material cost execution capability 315 using versioned Phase 25 library data, explicit quantity/production assumptions, deterministic calculation lineage, tenant security and mapped acceptance evidence.</x:v>
      </x:c>
      <x:c r="E316" s="12" t="str">
        <x:v>Capability 315 passes when inputs, library snapshot/version, formulas/rules, units, output values, rounding, scenario behavior, overrides, audit lineage and mapped tests are reproducible.</x:v>
      </x:c>
      <x:c r="F316" s="12" t="str">
        <x:v>v1.0.0</x:v>
      </x:c>
      <x:c r="G316" s="12" t="str">
        <x:v>Implementation-ready</x:v>
      </x:c>
    </x:row>
    <x:row r="317">
      <x:c r="A317" s="12" t="str">
        <x:v>P26-REQ-316</x:v>
      </x:c>
      <x:c r="B317" s="12" t="str">
        <x:v>Material Waste</x:v>
      </x:c>
      <x:c r="C317" s="12" t="str">
        <x:v>Must</x:v>
      </x:c>
      <x:c r="D317" s="12" t="str">
        <x:v>GrounUp shall implement governed material waste execution capability 316 using versioned Phase 25 library data, explicit quantity/production assumptions, deterministic calculation lineage, tenant security and mapped acceptance evidence.</x:v>
      </x:c>
      <x:c r="E317" s="12" t="str">
        <x:v>Capability 316 passes when inputs, library snapshot/version, formulas/rules, units, output values, rounding, scenario behavior, overrides, audit lineage and mapped tests are reproducible.</x:v>
      </x:c>
      <x:c r="F317" s="12" t="str">
        <x:v>v1.0.0</x:v>
      </x:c>
      <x:c r="G317" s="12" t="str">
        <x:v>Implementation-ready</x:v>
      </x:c>
    </x:row>
    <x:row r="318">
      <x:c r="A318" s="12" t="str">
        <x:v>P26-REQ-317</x:v>
      </x:c>
      <x:c r="B318" s="12" t="str">
        <x:v>Subcontract Cost</x:v>
      </x:c>
      <x:c r="C318" s="12" t="str">
        <x:v>Must</x:v>
      </x:c>
      <x:c r="D318" s="12" t="str">
        <x:v>GrounUp shall implement governed subcontract cost execution capability 317 using versioned Phase 25 library data, explicit quantity/production assumptions, deterministic calculation lineage, tenant security and mapped acceptance evidence.</x:v>
      </x:c>
      <x:c r="E318" s="12" t="str">
        <x:v>Capability 317 passes when inputs, library snapshot/version, formulas/rules, units, output values, rounding, scenario behavior, overrides, audit lineage and mapped tests are reproducible.</x:v>
      </x:c>
      <x:c r="F318" s="12" t="str">
        <x:v>v1.0.0</x:v>
      </x:c>
      <x:c r="G318" s="12" t="str">
        <x:v>Implementation-ready</x:v>
      </x:c>
    </x:row>
    <x:row r="319">
      <x:c r="A319" s="12" t="str">
        <x:v>P26-REQ-318</x:v>
      </x:c>
      <x:c r="B319" s="12" t="str">
        <x:v>Production Rate</x:v>
      </x:c>
      <x:c r="C319" s="12" t="str">
        <x:v>Must</x:v>
      </x:c>
      <x:c r="D319" s="12" t="str">
        <x:v>GrounUp shall implement governed production rate execution capability 318 using versioned Phase 25 library data, explicit quantity/production assumptions, deterministic calculation lineage, tenant security and mapped acceptance evidence.</x:v>
      </x:c>
      <x:c r="E319" s="12" t="str">
        <x:v>Capability 318 passes when inputs, library snapshot/version, formulas/rules, units, output values, rounding, scenario behavior, overrides, audit lineage and mapped tests are reproducible.</x:v>
      </x:c>
      <x:c r="F319" s="12" t="str">
        <x:v>v1.0.0</x:v>
      </x:c>
      <x:c r="G319" s="12" t="str">
        <x:v>Implementation-ready</x:v>
      </x:c>
    </x:row>
    <x:row r="320">
      <x:c r="A320" s="12" t="str">
        <x:v>P26-REQ-319</x:v>
      </x:c>
      <x:c r="B320" s="12" t="str">
        <x:v>Production Modifiers</x:v>
      </x:c>
      <x:c r="C320" s="12" t="str">
        <x:v>Must</x:v>
      </x:c>
      <x:c r="D320" s="12" t="str">
        <x:v>GrounUp shall implement governed production modifiers execution capability 319 using versioned Phase 25 library data, explicit quantity/production assumptions, deterministic calculation lineage, tenant security and mapped acceptance evidence.</x:v>
      </x:c>
      <x:c r="E320" s="12" t="str">
        <x:v>Capability 319 passes when inputs, library snapshot/version, formulas/rules, units, output values, rounding, scenario behavior, overrides, audit lineage and mapped tests are reproducible.</x:v>
      </x:c>
      <x:c r="F320" s="12" t="str">
        <x:v>v1.0.0</x:v>
      </x:c>
      <x:c r="G320" s="12" t="str">
        <x:v>Implementation-ready</x:v>
      </x:c>
    </x:row>
    <x:row r="321">
      <x:c r="A321" s="12" t="str">
        <x:v>P26-REQ-320</x:v>
      </x:c>
      <x:c r="B321" s="12" t="str">
        <x:v>Duration Calculation</x:v>
      </x:c>
      <x:c r="C321" s="12" t="str">
        <x:v>Must</x:v>
      </x:c>
      <x:c r="D321" s="12" t="str">
        <x:v>GrounUp shall implement governed duration calculation execution capability 320 using versioned Phase 25 library data, explicit quantity/production assumptions, deterministic calculation lineage, tenant security and mapped acceptance evidence.</x:v>
      </x:c>
      <x:c r="E321" s="12" t="str">
        <x:v>Capability 320 passes when inputs, library snapshot/version, formulas/rules, units, output values, rounding, scenario behavior, overrides, audit lineage and mapped tests are reproducible.</x:v>
      </x:c>
      <x:c r="F321" s="12" t="str">
        <x:v>v1.0.0</x:v>
      </x:c>
      <x:c r="G321" s="12" t="str">
        <x:v>Implementation-ready</x:v>
      </x:c>
    </x:row>
    <x:row r="322">
      <x:c r="A322" s="12" t="str">
        <x:v>P26-REQ-321</x:v>
      </x:c>
      <x:c r="B322" s="12" t="str">
        <x:v>Work Hours &amp; Shifts</x:v>
      </x:c>
      <x:c r="C322" s="12" t="str">
        <x:v>Must</x:v>
      </x:c>
      <x:c r="D322" s="12" t="str">
        <x:v>GrounUp shall implement governed work hours &amp; shifts execution capability 321 using versioned Phase 25 library data, explicit quantity/production assumptions, deterministic calculation lineage, tenant security and mapped acceptance evidence.</x:v>
      </x:c>
      <x:c r="E322" s="12" t="str">
        <x:v>Capability 321 passes when inputs, library snapshot/version, formulas/rules, units, output values, rounding, scenario behavior, overrides, audit lineage and mapped tests are reproducible.</x:v>
      </x:c>
      <x:c r="F322" s="12" t="str">
        <x:v>v1.0.0</x:v>
      </x:c>
      <x:c r="G322" s="12" t="str">
        <x:v>Implementation-ready</x:v>
      </x:c>
    </x:row>
    <x:row r="323">
      <x:c r="A323" s="12" t="str">
        <x:v>P26-REQ-322</x:v>
      </x:c>
      <x:c r="B323" s="12" t="str">
        <x:v>Mobilization</x:v>
      </x:c>
      <x:c r="C323" s="12" t="str">
        <x:v>Must</x:v>
      </x:c>
      <x:c r="D323" s="12" t="str">
        <x:v>GrounUp shall implement governed mobilization execution capability 322 using versioned Phase 25 library data, explicit quantity/production assumptions, deterministic calculation lineage, tenant security and mapped acceptance evidence.</x:v>
      </x:c>
      <x:c r="E323" s="12" t="str">
        <x:v>Capability 322 passes when inputs, library snapshot/version, formulas/rules, units, output values, rounding, scenario behavior, overrides, audit lineage and mapped tests are reproducible.</x:v>
      </x:c>
      <x:c r="F323" s="12" t="str">
        <x:v>v1.0.0</x:v>
      </x:c>
      <x:c r="G323" s="12" t="str">
        <x:v>Implementation-ready</x:v>
      </x:c>
    </x:row>
    <x:row r="324">
      <x:c r="A324" s="12" t="str">
        <x:v>P26-REQ-323</x:v>
      </x:c>
      <x:c r="B324" s="12" t="str">
        <x:v>Demobilization</x:v>
      </x:c>
      <x:c r="C324" s="12" t="str">
        <x:v>Must</x:v>
      </x:c>
      <x:c r="D324" s="12" t="str">
        <x:v>GrounUp shall implement governed demobilization execution capability 323 using versioned Phase 25 library data, explicit quantity/production assumptions, deterministic calculation lineage, tenant security and mapped acceptance evidence.</x:v>
      </x:c>
      <x:c r="E324" s="12" t="str">
        <x:v>Capability 323 passes when inputs, library snapshot/version, formulas/rules, units, output values, rounding, scenario behavior, overrides, audit lineage and mapped tests are reproducible.</x:v>
      </x:c>
      <x:c r="F324" s="12" t="str">
        <x:v>v1.0.0</x:v>
      </x:c>
      <x:c r="G324" s="12" t="str">
        <x:v>Implementation-ready</x:v>
      </x:c>
    </x:row>
    <x:row r="325">
      <x:c r="A325" s="12" t="str">
        <x:v>P26-REQ-324</x:v>
      </x:c>
      <x:c r="B325" s="12" t="str">
        <x:v>Indirect Costs</x:v>
      </x:c>
      <x:c r="C325" s="12" t="str">
        <x:v>Must</x:v>
      </x:c>
      <x:c r="D325" s="12" t="str">
        <x:v>GrounUp shall implement governed indirect costs execution capability 324 using versioned Phase 25 library data, explicit quantity/production assumptions, deterministic calculation lineage, tenant security and mapped acceptance evidence.</x:v>
      </x:c>
      <x:c r="E325" s="12" t="str">
        <x:v>Capability 324 passes when inputs, library snapshot/version, formulas/rules, units, output values, rounding, scenario behavior, overrides, audit lineage and mapped tests are reproducible.</x:v>
      </x:c>
      <x:c r="F325" s="12" t="str">
        <x:v>v1.0.0</x:v>
      </x:c>
      <x:c r="G325" s="12" t="str">
        <x:v>Implementation-ready</x:v>
      </x:c>
    </x:row>
    <x:row r="326">
      <x:c r="A326" s="12" t="str">
        <x:v>P26-REQ-325</x:v>
      </x:c>
      <x:c r="B326" s="12" t="str">
        <x:v>Contingency</x:v>
      </x:c>
      <x:c r="C326" s="12" t="str">
        <x:v>Must</x:v>
      </x:c>
      <x:c r="D326" s="12" t="str">
        <x:v>GrounUp shall implement governed contingency execution capability 325 using versioned Phase 25 library data, explicit quantity/production assumptions, deterministic calculation lineage, tenant security and mapped acceptance evidence.</x:v>
      </x:c>
      <x:c r="E326" s="12" t="str">
        <x:v>Capability 325 passes when inputs, library snapshot/version, formulas/rules, units, output values, rounding, scenario behavior, overrides, audit lineage and mapped tests are reproducible.</x:v>
      </x:c>
      <x:c r="F326" s="12" t="str">
        <x:v>v1.0.0</x:v>
      </x:c>
      <x:c r="G326" s="12" t="str">
        <x:v>Implementation-ready</x:v>
      </x:c>
    </x:row>
    <x:row r="327">
      <x:c r="A327" s="12" t="str">
        <x:v>P26-REQ-326</x:v>
      </x:c>
      <x:c r="B327" s="12" t="str">
        <x:v>Markup</x:v>
      </x:c>
      <x:c r="C327" s="12" t="str">
        <x:v>Must</x:v>
      </x:c>
      <x:c r="D327" s="12" t="str">
        <x:v>GrounUp shall implement governed markup execution capability 326 using versioned Phase 25 library data, explicit quantity/production assumptions, deterministic calculation lineage, tenant security and mapped acceptance evidence.</x:v>
      </x:c>
      <x:c r="E327" s="12" t="str">
        <x:v>Capability 326 passes when inputs, library snapshot/version, formulas/rules, units, output values, rounding, scenario behavior, overrides, audit lineage and mapped tests are reproducible.</x:v>
      </x:c>
      <x:c r="F327" s="12" t="str">
        <x:v>v1.0.0</x:v>
      </x:c>
      <x:c r="G327" s="12" t="str">
        <x:v>Implementation-ready</x:v>
      </x:c>
    </x:row>
    <x:row r="328">
      <x:c r="A328" s="12" t="str">
        <x:v>P26-REQ-327</x:v>
      </x:c>
      <x:c r="B328" s="12" t="str">
        <x:v>Overhead &amp; Profit</x:v>
      </x:c>
      <x:c r="C328" s="12" t="str">
        <x:v>Must</x:v>
      </x:c>
      <x:c r="D328" s="12" t="str">
        <x:v>GrounUp shall implement governed overhead &amp; profit execution capability 327 using versioned Phase 25 library data, explicit quantity/production assumptions, deterministic calculation lineage, tenant security and mapped acceptance evidence.</x:v>
      </x:c>
      <x:c r="E328" s="12" t="str">
        <x:v>Capability 327 passes when inputs, library snapshot/version, formulas/rules, units, output values, rounding, scenario behavior, overrides, audit lineage and mapped tests are reproducible.</x:v>
      </x:c>
      <x:c r="F328" s="12" t="str">
        <x:v>v1.0.0</x:v>
      </x:c>
      <x:c r="G328" s="12" t="str">
        <x:v>Implementation-ready</x:v>
      </x:c>
    </x:row>
    <x:row r="329">
      <x:c r="A329" s="12" t="str">
        <x:v>P26-REQ-328</x:v>
      </x:c>
      <x:c r="B329" s="12" t="str">
        <x:v>Tax &amp; Bond</x:v>
      </x:c>
      <x:c r="C329" s="12" t="str">
        <x:v>Must</x:v>
      </x:c>
      <x:c r="D329" s="12" t="str">
        <x:v>GrounUp shall implement governed tax &amp; bond execution capability 328 using versioned Phase 25 library data, explicit quantity/production assumptions, deterministic calculation lineage, tenant security and mapped acceptance evidence.</x:v>
      </x:c>
      <x:c r="E329" s="12" t="str">
        <x:v>Capability 328 passes when inputs, library snapshot/version, formulas/rules, units, output values, rounding, scenario behavior, overrides, audit lineage and mapped tests are reproducible.</x:v>
      </x:c>
      <x:c r="F329" s="12" t="str">
        <x:v>v1.0.0</x:v>
      </x:c>
      <x:c r="G329" s="12" t="str">
        <x:v>Implementation-ready</x:v>
      </x:c>
    </x:row>
    <x:row r="330">
      <x:c r="A330" s="12" t="str">
        <x:v>P26-REQ-329</x:v>
      </x:c>
      <x:c r="B330" s="12" t="str">
        <x:v>Unit Price</x:v>
      </x:c>
      <x:c r="C330" s="12" t="str">
        <x:v>Must</x:v>
      </x:c>
      <x:c r="D330" s="12" t="str">
        <x:v>GrounUp shall implement governed unit price execution capability 329 using versioned Phase 25 library data, explicit quantity/production assumptions, deterministic calculation lineage, tenant security and mapped acceptance evidence.</x:v>
      </x:c>
      <x:c r="E330" s="12" t="str">
        <x:v>Capability 329 passes when inputs, library snapshot/version, formulas/rules, units, output values, rounding, scenario behavior, overrides, audit lineage and mapped tests are reproducible.</x:v>
      </x:c>
      <x:c r="F330" s="12" t="str">
        <x:v>v1.0.0</x:v>
      </x:c>
      <x:c r="G330" s="12" t="str">
        <x:v>Implementation-ready</x:v>
      </x:c>
    </x:row>
    <x:row r="331">
      <x:c r="A331" s="12" t="str">
        <x:v>P26-REQ-330</x:v>
      </x:c>
      <x:c r="B331" s="12" t="str">
        <x:v>Bid Price</x:v>
      </x:c>
      <x:c r="C331" s="12" t="str">
        <x:v>Must</x:v>
      </x:c>
      <x:c r="D331" s="12" t="str">
        <x:v>GrounUp shall implement governed bid price execution capability 330 using versioned Phase 25 library data, explicit quantity/production assumptions, deterministic calculation lineage, tenant security and mapped acceptance evidence.</x:v>
      </x:c>
      <x:c r="E331" s="12" t="str">
        <x:v>Capability 330 passes when inputs, library snapshot/version, formulas/rules, units, output values, rounding, scenario behavior, overrides, audit lineage and mapped tests are reproducible.</x:v>
      </x:c>
      <x:c r="F331" s="12" t="str">
        <x:v>v1.0.0</x:v>
      </x:c>
      <x:c r="G331" s="12" t="str">
        <x:v>Implementation-ready</x:v>
      </x:c>
    </x:row>
    <x:row r="332">
      <x:c r="A332" s="12" t="str">
        <x:v>P26-REQ-331</x:v>
      </x:c>
      <x:c r="B332" s="12" t="str">
        <x:v>Low/High Range</x:v>
      </x:c>
      <x:c r="C332" s="12" t="str">
        <x:v>Must</x:v>
      </x:c>
      <x:c r="D332" s="12" t="str">
        <x:v>GrounUp shall implement governed low/high range execution capability 331 using versioned Phase 25 library data, explicit quantity/production assumptions, deterministic calculation lineage, tenant security and mapped acceptance evidence.</x:v>
      </x:c>
      <x:c r="E332" s="12" t="str">
        <x:v>Capability 331 passes when inputs, library snapshot/version, formulas/rules, units, output values, rounding, scenario behavior, overrides, audit lineage and mapped tests are reproducible.</x:v>
      </x:c>
      <x:c r="F332" s="12" t="str">
        <x:v>v1.0.0</x:v>
      </x:c>
      <x:c r="G332" s="12" t="str">
        <x:v>Implementation-ready</x:v>
      </x:c>
    </x:row>
    <x:row r="333">
      <x:c r="A333" s="12" t="str">
        <x:v>P26-REQ-332</x:v>
      </x:c>
      <x:c r="B333" s="12" t="str">
        <x:v>Scenario Comparison</x:v>
      </x:c>
      <x:c r="C333" s="12" t="str">
        <x:v>Must</x:v>
      </x:c>
      <x:c r="D333" s="12" t="str">
        <x:v>GrounUp shall implement governed scenario comparison execution capability 332 using versioned Phase 25 library data, explicit quantity/production assumptions, deterministic calculation lineage, tenant security and mapped acceptance evidence.</x:v>
      </x:c>
      <x:c r="E333" s="12" t="str">
        <x:v>Capability 332 passes when inputs, library snapshot/version, formulas/rules, units, output values, rounding, scenario behavior, overrides, audit lineage and mapped tests are reproducible.</x:v>
      </x:c>
      <x:c r="F333" s="12" t="str">
        <x:v>v1.0.0</x:v>
      </x:c>
      <x:c r="G333" s="12" t="str">
        <x:v>Implementation-ready</x:v>
      </x:c>
    </x:row>
    <x:row r="334">
      <x:c r="A334" s="12" t="str">
        <x:v>P26-REQ-333</x:v>
      </x:c>
      <x:c r="B334" s="12" t="str">
        <x:v>Estimate Confidence</x:v>
      </x:c>
      <x:c r="C334" s="12" t="str">
        <x:v>Must</x:v>
      </x:c>
      <x:c r="D334" s="12" t="str">
        <x:v>GrounUp shall implement governed estimate confidence execution capability 333 using versioned Phase 25 library data, explicit quantity/production assumptions, deterministic calculation lineage, tenant security and mapped acceptance evidence.</x:v>
      </x:c>
      <x:c r="E334" s="12" t="str">
        <x:v>Capability 333 passes when inputs, library snapshot/version, formulas/rules, units, output values, rounding, scenario behavior, overrides, audit lineage and mapped tests are reproducible.</x:v>
      </x:c>
      <x:c r="F334" s="12" t="str">
        <x:v>v1.0.0</x:v>
      </x:c>
      <x:c r="G334" s="12" t="str">
        <x:v>Implementation-ready</x:v>
      </x:c>
    </x:row>
    <x:row r="335">
      <x:c r="A335" s="12" t="str">
        <x:v>P26-REQ-334</x:v>
      </x:c>
      <x:c r="B335" s="12" t="str">
        <x:v>Regional Pricing</x:v>
      </x:c>
      <x:c r="C335" s="12" t="str">
        <x:v>Must</x:v>
      </x:c>
      <x:c r="D335" s="12" t="str">
        <x:v>GrounUp shall implement governed regional pricing execution capability 334 using versioned Phase 25 library data, explicit quantity/production assumptions, deterministic calculation lineage, tenant security and mapped acceptance evidence.</x:v>
      </x:c>
      <x:c r="E335" s="12" t="str">
        <x:v>Capability 334 passes when inputs, library snapshot/version, formulas/rules, units, output values, rounding, scenario behavior, overrides, audit lineage and mapped tests are reproducible.</x:v>
      </x:c>
      <x:c r="F335" s="12" t="str">
        <x:v>v1.0.0</x:v>
      </x:c>
      <x:c r="G335" s="12" t="str">
        <x:v>Implementation-ready</x:v>
      </x:c>
    </x:row>
    <x:row r="336">
      <x:c r="A336" s="12" t="str">
        <x:v>P26-REQ-335</x:v>
      </x:c>
      <x:c r="B336" s="12" t="str">
        <x:v>Vendor Quote Override</x:v>
      </x:c>
      <x:c r="C336" s="12" t="str">
        <x:v>Must</x:v>
      </x:c>
      <x:c r="D336" s="12" t="str">
        <x:v>GrounUp shall implement governed vendor quote override execution capability 335 using versioned Phase 25 library data, explicit quantity/production assumptions, deterministic calculation lineage, tenant security and mapped acceptance evidence.</x:v>
      </x:c>
      <x:c r="E336" s="12" t="str">
        <x:v>Capability 335 passes when inputs, library snapshot/version, formulas/rules, units, output values, rounding, scenario behavior, overrides, audit lineage and mapped tests are reproducible.</x:v>
      </x:c>
      <x:c r="F336" s="12" t="str">
        <x:v>v1.0.0</x:v>
      </x:c>
      <x:c r="G336" s="12" t="str">
        <x:v>Implementation-ready</x:v>
      </x:c>
    </x:row>
    <x:row r="337">
      <x:c r="A337" s="12" t="str">
        <x:v>P26-REQ-336</x:v>
      </x:c>
      <x:c r="B337" s="12" t="str">
        <x:v>Snapshot Reproducibility</x:v>
      </x:c>
      <x:c r="C337" s="12" t="str">
        <x:v>Must</x:v>
      </x:c>
      <x:c r="D337" s="12" t="str">
        <x:v>GrounUp shall implement governed snapshot reproducibility execution capability 336 using versioned Phase 25 library data, explicit quantity/production assumptions, deterministic calculation lineage, tenant security and mapped acceptance evidence.</x:v>
      </x:c>
      <x:c r="E337" s="12" t="str">
        <x:v>Capability 336 passes when inputs, library snapshot/version, formulas/rules, units, output values, rounding, scenario behavior, overrides, audit lineage and mapped tests are reproducible.</x:v>
      </x:c>
      <x:c r="F337" s="12" t="str">
        <x:v>v1.0.0</x:v>
      </x:c>
      <x:c r="G337" s="12" t="str">
        <x:v>Implementation-ready</x:v>
      </x:c>
    </x:row>
    <x:row r="338">
      <x:c r="A338" s="12" t="str">
        <x:v>P26-REQ-337</x:v>
      </x:c>
      <x:c r="B338" s="12" t="str">
        <x:v>Service Catalog Writeback</x:v>
      </x:c>
      <x:c r="C338" s="12" t="str">
        <x:v>Must</x:v>
      </x:c>
      <x:c r="D338" s="12" t="str">
        <x:v>GrounUp shall implement governed service catalog writeback execution capability 337 using versioned Phase 25 library data, explicit quantity/production assumptions, deterministic calculation lineage, tenant security and mapped acceptance evidence.</x:v>
      </x:c>
      <x:c r="E338" s="12" t="str">
        <x:v>Capability 337 passes when inputs, library snapshot/version, formulas/rules, units, output values, rounding, scenario behavior, overrides, audit lineage and mapped tests are reproducible.</x:v>
      </x:c>
      <x:c r="F338" s="12" t="str">
        <x:v>v1.0.0</x:v>
      </x:c>
      <x:c r="G338" s="12" t="str">
        <x:v>Implementation-ready</x:v>
      </x:c>
    </x:row>
    <x:row r="339">
      <x:c r="A339" s="12" t="str">
        <x:v>P26-REQ-338</x:v>
      </x:c>
      <x:c r="B339" s="12" t="str">
        <x:v>AI Estimate Assist</x:v>
      </x:c>
      <x:c r="C339" s="12" t="str">
        <x:v>Must</x:v>
      </x:c>
      <x:c r="D339" s="12" t="str">
        <x:v>GrounUp shall implement governed ai estimate assist execution capability 338 using versioned Phase 25 library data, explicit quantity/production assumptions, deterministic calculation lineage, tenant security and mapped acceptance evidence.</x:v>
      </x:c>
      <x:c r="E339" s="12" t="str">
        <x:v>Capability 338 passes when inputs, library snapshot/version, formulas/rules, units, output values, rounding, scenario behavior, overrides, audit lineage and mapped tests are reproducible.</x:v>
      </x:c>
      <x:c r="F339" s="12" t="str">
        <x:v>v1.0.0</x:v>
      </x:c>
      <x:c r="G339" s="12" t="str">
        <x:v>Implementation-ready</x:v>
      </x:c>
    </x:row>
    <x:row r="340">
      <x:c r="A340" s="12" t="str">
        <x:v>P26-REQ-339</x:v>
      </x:c>
      <x:c r="B340" s="12" t="str">
        <x:v>Estimate Review &amp; Approval</x:v>
      </x:c>
      <x:c r="C340" s="12" t="str">
        <x:v>Must</x:v>
      </x:c>
      <x:c r="D340" s="12" t="str">
        <x:v>GrounUp shall implement governed estimate review &amp; approval execution capability 339 using versioned Phase 25 library data, explicit quantity/production assumptions, deterministic calculation lineage, tenant security and mapped acceptance evidence.</x:v>
      </x:c>
      <x:c r="E340" s="12" t="str">
        <x:v>Capability 339 passes when inputs, library snapshot/version, formulas/rules, units, output values, rounding, scenario behavior, overrides, audit lineage and mapped tests are reproducible.</x:v>
      </x:c>
      <x:c r="F340" s="12" t="str">
        <x:v>v1.0.0</x:v>
      </x:c>
      <x:c r="G340" s="12" t="str">
        <x:v>Implementation-ready</x:v>
      </x:c>
    </x:row>
    <x:row r="341">
      <x:c r="A341" s="12" t="str">
        <x:v>P26-REQ-340</x:v>
      </x:c>
      <x:c r="B341" s="12" t="str">
        <x:v>Estimate Export</x:v>
      </x:c>
      <x:c r="C341" s="12" t="str">
        <x:v>Must</x:v>
      </x:c>
      <x:c r="D341" s="12" t="str">
        <x:v>GrounUp shall implement governed estimate export execution capability 340 using versioned Phase 25 library data, explicit quantity/production assumptions, deterministic calculation lineage, tenant security and mapped acceptance evidence.</x:v>
      </x:c>
      <x:c r="E341" s="12" t="str">
        <x:v>Capability 340 passes when inputs, library snapshot/version, formulas/rules, units, output values, rounding, scenario behavior, overrides, audit lineage and mapped tests are reproducible.</x:v>
      </x:c>
      <x:c r="F341" s="12" t="str">
        <x:v>v1.0.0</x:v>
      </x:c>
      <x:c r="G341" s="12" t="str">
        <x:v>Implementation-ready</x:v>
      </x:c>
    </x:row>
    <x:row r="342">
      <x:c r="A342" s="12" t="str">
        <x:v>P26-REQ-341</x:v>
      </x:c>
      <x:c r="B342" s="12" t="str">
        <x:v>Proposal Handoff</x:v>
      </x:c>
      <x:c r="C342" s="12" t="str">
        <x:v>Must</x:v>
      </x:c>
      <x:c r="D342" s="12" t="str">
        <x:v>GrounUp shall implement governed proposal handoff execution capability 341 using versioned Phase 25 library data, explicit quantity/production assumptions, deterministic calculation lineage, tenant security and mapped acceptance evidence.</x:v>
      </x:c>
      <x:c r="E342" s="12" t="str">
        <x:v>Capability 341 passes when inputs, library snapshot/version, formulas/rules, units, output values, rounding, scenario behavior, overrides, audit lineage and mapped tests are reproducible.</x:v>
      </x:c>
      <x:c r="F342" s="12" t="str">
        <x:v>v1.0.0</x:v>
      </x:c>
      <x:c r="G342" s="12" t="str">
        <x:v>Implementation-ready</x:v>
      </x:c>
    </x:row>
    <x:row r="343">
      <x:c r="A343" s="12" t="str">
        <x:v>P26-REQ-342</x:v>
      </x:c>
      <x:c r="B343" s="12" t="str">
        <x:v>Job Cost Baseline</x:v>
      </x:c>
      <x:c r="C343" s="12" t="str">
        <x:v>Must</x:v>
      </x:c>
      <x:c r="D343" s="12" t="str">
        <x:v>GrounUp shall implement governed job cost baseline execution capability 342 using versioned Phase 25 library data, explicit quantity/production assumptions, deterministic calculation lineage, tenant security and mapped acceptance evidence.</x:v>
      </x:c>
      <x:c r="E343" s="12" t="str">
        <x:v>Capability 342 passes when inputs, library snapshot/version, formulas/rules, units, output values, rounding, scenario behavior, overrides, audit lineage and mapped tests are reproducible.</x:v>
      </x:c>
      <x:c r="F343" s="12" t="str">
        <x:v>v1.0.0</x:v>
      </x:c>
      <x:c r="G343" s="12" t="str">
        <x:v>Implementation-ready</x:v>
      </x:c>
    </x:row>
    <x:row r="344">
      <x:c r="A344" s="12" t="str">
        <x:v>P26-REQ-343</x:v>
      </x:c>
      <x:c r="B344" s="12" t="str">
        <x:v>Audit &amp; Traceability</x:v>
      </x:c>
      <x:c r="C344" s="12" t="str">
        <x:v>Must</x:v>
      </x:c>
      <x:c r="D344" s="12" t="str">
        <x:v>GrounUp shall implement governed audit &amp; traceability execution capability 343 using versioned Phase 25 library data, explicit quantity/production assumptions, deterministic calculation lineage, tenant security and mapped acceptance evidence.</x:v>
      </x:c>
      <x:c r="E344" s="12" t="str">
        <x:v>Capability 343 passes when inputs, library snapshot/version, formulas/rules, units, output values, rounding, scenario behavior, overrides, audit lineage and mapped tests are reproducible.</x:v>
      </x:c>
      <x:c r="F344" s="12" t="str">
        <x:v>v1.0.0</x:v>
      </x:c>
      <x:c r="G344" s="12" t="str">
        <x:v>Implementation-ready</x:v>
      </x:c>
    </x:row>
    <x:row r="345">
      <x:c r="A345" s="12" t="str">
        <x:v>P26-REQ-344</x:v>
      </x:c>
      <x:c r="B345" s="12" t="str">
        <x:v>Estimate Lifecycle</x:v>
      </x:c>
      <x:c r="C345" s="12" t="str">
        <x:v>Must</x:v>
      </x:c>
      <x:c r="D345" s="12" t="str">
        <x:v>GrounUp shall implement governed estimate lifecycle execution capability 344 using versioned Phase 25 library data, explicit quantity/production assumptions, deterministic calculation lineage, tenant security and mapped acceptance evidence.</x:v>
      </x:c>
      <x:c r="E345" s="12" t="str">
        <x:v>Capability 344 passes when inputs, library snapshot/version, formulas/rules, units, output values, rounding, scenario behavior, overrides, audit lineage and mapped tests are reproducible.</x:v>
      </x:c>
      <x:c r="F345" s="12" t="str">
        <x:v>v1.0.0</x:v>
      </x:c>
      <x:c r="G345" s="12" t="str">
        <x:v>Implementation-ready</x:v>
      </x:c>
    </x:row>
    <x:row r="346">
      <x:c r="A346" s="12" t="str">
        <x:v>P26-REQ-345</x:v>
      </x:c>
      <x:c r="B346" s="12" t="str">
        <x:v>Estimate Versions</x:v>
      </x:c>
      <x:c r="C346" s="12" t="str">
        <x:v>Must</x:v>
      </x:c>
      <x:c r="D346" s="12" t="str">
        <x:v>GrounUp shall implement governed estimate versions execution capability 345 using versioned Phase 25 library data, explicit quantity/production assumptions, deterministic calculation lineage, tenant security and mapped acceptance evidence.</x:v>
      </x:c>
      <x:c r="E346" s="12" t="str">
        <x:v>Capability 345 passes when inputs, library snapshot/version, formulas/rules, units, output values, rounding, scenario behavior, overrides, audit lineage and mapped tests are reproducible.</x:v>
      </x:c>
      <x:c r="F346" s="12" t="str">
        <x:v>v1.0.0</x:v>
      </x:c>
      <x:c r="G346" s="12" t="str">
        <x:v>Implementation-ready</x:v>
      </x:c>
    </x:row>
    <x:row r="347">
      <x:c r="A347" s="12" t="str">
        <x:v>P26-REQ-346</x:v>
      </x:c>
      <x:c r="B347" s="12" t="str">
        <x:v>Estimate Templates</x:v>
      </x:c>
      <x:c r="C347" s="12" t="str">
        <x:v>Must</x:v>
      </x:c>
      <x:c r="D347" s="12" t="str">
        <x:v>GrounUp shall implement governed estimate templates execution capability 346 using versioned Phase 25 library data, explicit quantity/production assumptions, deterministic calculation lineage, tenant security and mapped acceptance evidence.</x:v>
      </x:c>
      <x:c r="E347" s="12" t="str">
        <x:v>Capability 346 passes when inputs, library snapshot/version, formulas/rules, units, output values, rounding, scenario behavior, overrides, audit lineage and mapped tests are reproducible.</x:v>
      </x:c>
      <x:c r="F347" s="12" t="str">
        <x:v>v1.0.0</x:v>
      </x:c>
      <x:c r="G347" s="12" t="str">
        <x:v>Implementation-ready</x:v>
      </x:c>
    </x:row>
    <x:row r="348">
      <x:c r="A348" s="12" t="str">
        <x:v>P26-REQ-347</x:v>
      </x:c>
      <x:c r="B348" s="12" t="str">
        <x:v>Service Selection</x:v>
      </x:c>
      <x:c r="C348" s="12" t="str">
        <x:v>Must</x:v>
      </x:c>
      <x:c r="D348" s="12" t="str">
        <x:v>GrounUp shall implement governed service selection execution capability 347 using versioned Phase 25 library data, explicit quantity/production assumptions, deterministic calculation lineage, tenant security and mapped acceptance evidence.</x:v>
      </x:c>
      <x:c r="E348" s="12" t="str">
        <x:v>Capability 347 passes when inputs, library snapshot/version, formulas/rules, units, output values, rounding, scenario behavior, overrides, audit lineage and mapped tests are reproducible.</x:v>
      </x:c>
      <x:c r="F348" s="12" t="str">
        <x:v>v1.0.0</x:v>
      </x:c>
      <x:c r="G348" s="12" t="str">
        <x:v>Implementation-ready</x:v>
      </x:c>
    </x:row>
    <x:row r="349">
      <x:c r="A349" s="12" t="str">
        <x:v>P26-REQ-348</x:v>
      </x:c>
      <x:c r="B349" s="12" t="str">
        <x:v>Assembly Expansion</x:v>
      </x:c>
      <x:c r="C349" s="12" t="str">
        <x:v>Must</x:v>
      </x:c>
      <x:c r="D349" s="12" t="str">
        <x:v>GrounUp shall implement governed assembly expansion execution capability 348 using versioned Phase 25 library data, explicit quantity/production assumptions, deterministic calculation lineage, tenant security and mapped acceptance evidence.</x:v>
      </x:c>
      <x:c r="E349" s="12" t="str">
        <x:v>Capability 348 passes when inputs, library snapshot/version, formulas/rules, units, output values, rounding, scenario behavior, overrides, audit lineage and mapped tests are reproducible.</x:v>
      </x:c>
      <x:c r="F349" s="12" t="str">
        <x:v>v1.0.0</x:v>
      </x:c>
      <x:c r="G349" s="12" t="str">
        <x:v>Implementation-ready</x:v>
      </x:c>
    </x:row>
    <x:row r="350">
      <x:c r="A350" s="12" t="str">
        <x:v>P26-REQ-349</x:v>
      </x:c>
      <x:c r="B350" s="12" t="str">
        <x:v>Quantity Input</x:v>
      </x:c>
      <x:c r="C350" s="12" t="str">
        <x:v>Must</x:v>
      </x:c>
      <x:c r="D350" s="12" t="str">
        <x:v>GrounUp shall implement governed quantity input execution capability 349 using versioned Phase 25 library data, explicit quantity/production assumptions, deterministic calculation lineage, tenant security and mapped acceptance evidence.</x:v>
      </x:c>
      <x:c r="E350" s="12" t="str">
        <x:v>Capability 349 passes when inputs, library snapshot/version, formulas/rules, units, output values, rounding, scenario behavior, overrides, audit lineage and mapped tests are reproducible.</x:v>
      </x:c>
      <x:c r="F350" s="12" t="str">
        <x:v>v1.0.0</x:v>
      </x:c>
      <x:c r="G350" s="12" t="str">
        <x:v>Implementation-ready</x:v>
      </x:c>
    </x:row>
    <x:row r="351">
      <x:c r="A351" s="12" t="str">
        <x:v>P26-REQ-350</x:v>
      </x:c>
      <x:c r="B351" s="12" t="str">
        <x:v>Quantity Takeoff Intake</x:v>
      </x:c>
      <x:c r="C351" s="12" t="str">
        <x:v>Must</x:v>
      </x:c>
      <x:c r="D351" s="12" t="str">
        <x:v>GrounUp shall implement governed quantity takeoff intake execution capability 350 using versioned Phase 25 library data, explicit quantity/production assumptions, deterministic calculation lineage, tenant security and mapped acceptance evidence.</x:v>
      </x:c>
      <x:c r="E351" s="12" t="str">
        <x:v>Capability 350 passes when inputs, library snapshot/version, formulas/rules, units, output values, rounding, scenario behavior, overrides, audit lineage and mapped tests are reproducible.</x:v>
      </x:c>
      <x:c r="F351" s="12" t="str">
        <x:v>v1.0.0</x:v>
      </x:c>
      <x:c r="G351" s="12" t="str">
        <x:v>Implementation-ready</x:v>
      </x:c>
    </x:row>
    <x:row r="352">
      <x:c r="A352" s="12" t="str">
        <x:v>P26-REQ-351</x:v>
      </x:c>
      <x:c r="B352" s="12" t="str">
        <x:v>Labor Cost</x:v>
      </x:c>
      <x:c r="C352" s="12" t="str">
        <x:v>Must</x:v>
      </x:c>
      <x:c r="D352" s="12" t="str">
        <x:v>GrounUp shall implement governed labor cost execution capability 351 using versioned Phase 25 library data, explicit quantity/production assumptions, deterministic calculation lineage, tenant security and mapped acceptance evidence.</x:v>
      </x:c>
      <x:c r="E352" s="12" t="str">
        <x:v>Capability 351 passes when inputs, library snapshot/version, formulas/rules, units, output values, rounding, scenario behavior, overrides, audit lineage and mapped tests are reproducible.</x:v>
      </x:c>
      <x:c r="F352" s="12" t="str">
        <x:v>v1.0.0</x:v>
      </x:c>
      <x:c r="G352" s="12" t="str">
        <x:v>Implementation-ready</x:v>
      </x:c>
    </x:row>
    <x:row r="353">
      <x:c r="A353" s="12" t="str">
        <x:v>P26-REQ-352</x:v>
      </x:c>
      <x:c r="B353" s="12" t="str">
        <x:v>Labor Burden</x:v>
      </x:c>
      <x:c r="C353" s="12" t="str">
        <x:v>Must</x:v>
      </x:c>
      <x:c r="D353" s="12" t="str">
        <x:v>GrounUp shall implement governed labor burden execution capability 352 using versioned Phase 25 library data, explicit quantity/production assumptions, deterministic calculation lineage, tenant security and mapped acceptance evidence.</x:v>
      </x:c>
      <x:c r="E353" s="12" t="str">
        <x:v>Capability 352 passes when inputs, library snapshot/version, formulas/rules, units, output values, rounding, scenario behavior, overrides, audit lineage and mapped tests are reproducible.</x:v>
      </x:c>
      <x:c r="F353" s="12" t="str">
        <x:v>v1.0.0</x:v>
      </x:c>
      <x:c r="G353" s="12" t="str">
        <x:v>Implementation-ready</x:v>
      </x:c>
    </x:row>
    <x:row r="354">
      <x:c r="A354" s="12" t="str">
        <x:v>P26-REQ-353</x:v>
      </x:c>
      <x:c r="B354" s="12" t="str">
        <x:v>Crew Composition</x:v>
      </x:c>
      <x:c r="C354" s="12" t="str">
        <x:v>Must</x:v>
      </x:c>
      <x:c r="D354" s="12" t="str">
        <x:v>GrounUp shall implement governed crew composition execution capability 353 using versioned Phase 25 library data, explicit quantity/production assumptions, deterministic calculation lineage, tenant security and mapped acceptance evidence.</x:v>
      </x:c>
      <x:c r="E354" s="12" t="str">
        <x:v>Capability 353 passes when inputs, library snapshot/version, formulas/rules, units, output values, rounding, scenario behavior, overrides, audit lineage and mapped tests are reproducible.</x:v>
      </x:c>
      <x:c r="F354" s="12" t="str">
        <x:v>v1.0.0</x:v>
      </x:c>
      <x:c r="G354" s="12" t="str">
        <x:v>Implementation-ready</x:v>
      </x:c>
    </x:row>
    <x:row r="355">
      <x:c r="A355" s="12" t="str">
        <x:v>P26-REQ-354</x:v>
      </x:c>
      <x:c r="B355" s="12" t="str">
        <x:v>Crew Size Recommendation</x:v>
      </x:c>
      <x:c r="C355" s="12" t="str">
        <x:v>Must</x:v>
      </x:c>
      <x:c r="D355" s="12" t="str">
        <x:v>GrounUp shall implement governed crew size recommendation execution capability 354 using versioned Phase 25 library data, explicit quantity/production assumptions, deterministic calculation lineage, tenant security and mapped acceptance evidence.</x:v>
      </x:c>
      <x:c r="E355" s="12" t="str">
        <x:v>Capability 354 passes when inputs, library snapshot/version, formulas/rules, units, output values, rounding, scenario behavior, overrides, audit lineage and mapped tests are reproducible.</x:v>
      </x:c>
      <x:c r="F355" s="12" t="str">
        <x:v>v1.0.0</x:v>
      </x:c>
      <x:c r="G355" s="12" t="str">
        <x:v>Implementation-ready</x:v>
      </x:c>
    </x:row>
    <x:row r="356">
      <x:c r="A356" s="12" t="str">
        <x:v>P26-REQ-355</x:v>
      </x:c>
      <x:c r="B356" s="12" t="str">
        <x:v>Equipment Selection</x:v>
      </x:c>
      <x:c r="C356" s="12" t="str">
        <x:v>Must</x:v>
      </x:c>
      <x:c r="D356" s="12" t="str">
        <x:v>GrounUp shall implement governed equipment selection execution capability 355 using versioned Phase 25 library data, explicit quantity/production assumptions, deterministic calculation lineage, tenant security and mapped acceptance evidence.</x:v>
      </x:c>
      <x:c r="E356" s="12" t="str">
        <x:v>Capability 355 passes when inputs, library snapshot/version, formulas/rules, units, output values, rounding, scenario behavior, overrides, audit lineage and mapped tests are reproducible.</x:v>
      </x:c>
      <x:c r="F356" s="12" t="str">
        <x:v>v1.0.0</x:v>
      </x:c>
      <x:c r="G356" s="12" t="str">
        <x:v>Implementation-ready</x:v>
      </x:c>
    </x:row>
    <x:row r="357">
      <x:c r="A357" s="12" t="str">
        <x:v>P26-REQ-356</x:v>
      </x:c>
      <x:c r="B357" s="12" t="str">
        <x:v>Equipment Cost</x:v>
      </x:c>
      <x:c r="C357" s="12" t="str">
        <x:v>Must</x:v>
      </x:c>
      <x:c r="D357" s="12" t="str">
        <x:v>GrounUp shall implement governed equipment cost execution capability 356 using versioned Phase 25 library data, explicit quantity/production assumptions, deterministic calculation lineage, tenant security and mapped acceptance evidence.</x:v>
      </x:c>
      <x:c r="E357" s="12" t="str">
        <x:v>Capability 356 passes when inputs, library snapshot/version, formulas/rules, units, output values, rounding, scenario behavior, overrides, audit lineage and mapped tests are reproducible.</x:v>
      </x:c>
      <x:c r="F357" s="12" t="str">
        <x:v>v1.0.0</x:v>
      </x:c>
      <x:c r="G357" s="12" t="str">
        <x:v>Implementation-ready</x:v>
      </x:c>
    </x:row>
    <x:row r="358">
      <x:c r="A358" s="12" t="str">
        <x:v>P26-REQ-357</x:v>
      </x:c>
      <x:c r="B358" s="12" t="str">
        <x:v>Equipment Rate Selection</x:v>
      </x:c>
      <x:c r="C358" s="12" t="str">
        <x:v>Must</x:v>
      </x:c>
      <x:c r="D358" s="12" t="str">
        <x:v>GrounUp shall implement governed equipment rate selection execution capability 357 using versioned Phase 25 library data, explicit quantity/production assumptions, deterministic calculation lineage, tenant security and mapped acceptance evidence.</x:v>
      </x:c>
      <x:c r="E358" s="12" t="str">
        <x:v>Capability 357 passes when inputs, library snapshot/version, formulas/rules, units, output values, rounding, scenario behavior, overrides, audit lineage and mapped tests are reproducible.</x:v>
      </x:c>
      <x:c r="F358" s="12" t="str">
        <x:v>v1.0.0</x:v>
      </x:c>
      <x:c r="G358" s="12" t="str">
        <x:v>Implementation-ready</x:v>
      </x:c>
    </x:row>
    <x:row r="359">
      <x:c r="A359" s="12" t="str">
        <x:v>P26-REQ-358</x:v>
      </x:c>
      <x:c r="B359" s="12" t="str">
        <x:v>Fuel Consumption</x:v>
      </x:c>
      <x:c r="C359" s="12" t="str">
        <x:v>Must</x:v>
      </x:c>
      <x:c r="D359" s="12" t="str">
        <x:v>GrounUp shall implement governed fuel consumption execution capability 358 using versioned Phase 25 library data, explicit quantity/production assumptions, deterministic calculation lineage, tenant security and mapped acceptance evidence.</x:v>
      </x:c>
      <x:c r="E359" s="12" t="str">
        <x:v>Capability 358 passes when inputs, library snapshot/version, formulas/rules, units, output values, rounding, scenario behavior, overrides, audit lineage and mapped tests are reproducible.</x:v>
      </x:c>
      <x:c r="F359" s="12" t="str">
        <x:v>v1.0.0</x:v>
      </x:c>
      <x:c r="G359" s="12" t="str">
        <x:v>Implementation-ready</x:v>
      </x:c>
    </x:row>
    <x:row r="360">
      <x:c r="A360" s="12" t="str">
        <x:v>P26-REQ-359</x:v>
      </x:c>
      <x:c r="B360" s="12" t="str">
        <x:v>Truck Selection</x:v>
      </x:c>
      <x:c r="C360" s="12" t="str">
        <x:v>Must</x:v>
      </x:c>
      <x:c r="D360" s="12" t="str">
        <x:v>GrounUp shall implement governed truck selection execution capability 359 using versioned Phase 25 library data, explicit quantity/production assumptions, deterministic calculation lineage, tenant security and mapped acceptance evidence.</x:v>
      </x:c>
      <x:c r="E360" s="12" t="str">
        <x:v>Capability 359 passes when inputs, library snapshot/version, formulas/rules, units, output values, rounding, scenario behavior, overrides, audit lineage and mapped tests are reproducible.</x:v>
      </x:c>
      <x:c r="F360" s="12" t="str">
        <x:v>v1.0.0</x:v>
      </x:c>
      <x:c r="G360" s="12" t="str">
        <x:v>Implementation-ready</x:v>
      </x:c>
    </x:row>
    <x:row r="361">
      <x:c r="A361" s="12" t="str">
        <x:v>P26-REQ-360</x:v>
      </x:c>
      <x:c r="B361" s="12" t="str">
        <x:v>Truck Cycle Calculation</x:v>
      </x:c>
      <x:c r="C361" s="12" t="str">
        <x:v>Must</x:v>
      </x:c>
      <x:c r="D361" s="12" t="str">
        <x:v>GrounUp shall implement governed truck cycle calculation execution capability 360 using versioned Phase 25 library data, explicit quantity/production assumptions, deterministic calculation lineage, tenant security and mapped acceptance evidence.</x:v>
      </x:c>
      <x:c r="E361" s="12" t="str">
        <x:v>Capability 360 passes when inputs, library snapshot/version, formulas/rules, units, output values, rounding, scenario behavior, overrides, audit lineage and mapped tests are reproducible.</x:v>
      </x:c>
      <x:c r="F361" s="12" t="str">
        <x:v>v1.0.0</x:v>
      </x:c>
      <x:c r="G361" s="12" t="str">
        <x:v>Implementation-ready</x:v>
      </x:c>
    </x:row>
    <x:row r="362">
      <x:c r="A362" s="12" t="str">
        <x:v>P26-REQ-361</x:v>
      </x:c>
      <x:c r="B362" s="12" t="str">
        <x:v>Truck Count</x:v>
      </x:c>
      <x:c r="C362" s="12" t="str">
        <x:v>Must</x:v>
      </x:c>
      <x:c r="D362" s="12" t="str">
        <x:v>GrounUp shall implement governed truck count execution capability 361 using versioned Phase 25 library data, explicit quantity/production assumptions, deterministic calculation lineage, tenant security and mapped acceptance evidence.</x:v>
      </x:c>
      <x:c r="E362" s="12" t="str">
        <x:v>Capability 361 passes when inputs, library snapshot/version, formulas/rules, units, output values, rounding, scenario behavior, overrides, audit lineage and mapped tests are reproducible.</x:v>
      </x:c>
      <x:c r="F362" s="12" t="str">
        <x:v>v1.0.0</x:v>
      </x:c>
      <x:c r="G362" s="12" t="str">
        <x:v>Implementation-ready</x:v>
      </x:c>
    </x:row>
    <x:row r="363">
      <x:c r="A363" s="12" t="str">
        <x:v>P26-REQ-362</x:v>
      </x:c>
      <x:c r="B363" s="12" t="str">
        <x:v>Haul Distance</x:v>
      </x:c>
      <x:c r="C363" s="12" t="str">
        <x:v>Must</x:v>
      </x:c>
      <x:c r="D363" s="12" t="str">
        <x:v>GrounUp shall implement governed haul distance execution capability 362 using versioned Phase 25 library data, explicit quantity/production assumptions, deterministic calculation lineage, tenant security and mapped acceptance evidence.</x:v>
      </x:c>
      <x:c r="E363" s="12" t="str">
        <x:v>Capability 362 passes when inputs, library snapshot/version, formulas/rules, units, output values, rounding, scenario behavior, overrides, audit lineage and mapped tests are reproducible.</x:v>
      </x:c>
      <x:c r="F363" s="12" t="str">
        <x:v>v1.0.0</x:v>
      </x:c>
      <x:c r="G363" s="12" t="str">
        <x:v>Implementation-ready</x:v>
      </x:c>
    </x:row>
    <x:row r="364">
      <x:c r="A364" s="12" t="str">
        <x:v>P26-REQ-363</x:v>
      </x:c>
      <x:c r="B364" s="12" t="str">
        <x:v>Disposal Cost</x:v>
      </x:c>
      <x:c r="C364" s="12" t="str">
        <x:v>Must</x:v>
      </x:c>
      <x:c r="D364" s="12" t="str">
        <x:v>GrounUp shall implement governed disposal cost execution capability 363 using versioned Phase 25 library data, explicit quantity/production assumptions, deterministic calculation lineage, tenant security and mapped acceptance evidence.</x:v>
      </x:c>
      <x:c r="E364" s="12" t="str">
        <x:v>Capability 363 passes when inputs, library snapshot/version, formulas/rules, units, output values, rounding, scenario behavior, overrides, audit lineage and mapped tests are reproducible.</x:v>
      </x:c>
      <x:c r="F364" s="12" t="str">
        <x:v>v1.0.0</x:v>
      </x:c>
      <x:c r="G364" s="12" t="str">
        <x:v>Implementation-ready</x:v>
      </x:c>
    </x:row>
    <x:row r="365">
      <x:c r="A365" s="12" t="str">
        <x:v>P26-REQ-364</x:v>
      </x:c>
      <x:c r="B365" s="12" t="str">
        <x:v>Material Cost</x:v>
      </x:c>
      <x:c r="C365" s="12" t="str">
        <x:v>Must</x:v>
      </x:c>
      <x:c r="D365" s="12" t="str">
        <x:v>GrounUp shall implement governed material cost execution capability 364 using versioned Phase 25 library data, explicit quantity/production assumptions, deterministic calculation lineage, tenant security and mapped acceptance evidence.</x:v>
      </x:c>
      <x:c r="E365" s="12" t="str">
        <x:v>Capability 364 passes when inputs, library snapshot/version, formulas/rules, units, output values, rounding, scenario behavior, overrides, audit lineage and mapped tests are reproducible.</x:v>
      </x:c>
      <x:c r="F365" s="12" t="str">
        <x:v>v1.0.0</x:v>
      </x:c>
      <x:c r="G365" s="12" t="str">
        <x:v>Implementation-ready</x:v>
      </x:c>
    </x:row>
    <x:row r="366">
      <x:c r="A366" s="12" t="str">
        <x:v>P26-REQ-365</x:v>
      </x:c>
      <x:c r="B366" s="12" t="str">
        <x:v>Material Waste</x:v>
      </x:c>
      <x:c r="C366" s="12" t="str">
        <x:v>Must</x:v>
      </x:c>
      <x:c r="D366" s="12" t="str">
        <x:v>GrounUp shall implement governed material waste execution capability 365 using versioned Phase 25 library data, explicit quantity/production assumptions, deterministic calculation lineage, tenant security and mapped acceptance evidence.</x:v>
      </x:c>
      <x:c r="E366" s="12" t="str">
        <x:v>Capability 365 passes when inputs, library snapshot/version, formulas/rules, units, output values, rounding, scenario behavior, overrides, audit lineage and mapped tests are reproducible.</x:v>
      </x:c>
      <x:c r="F366" s="12" t="str">
        <x:v>v1.0.0</x:v>
      </x:c>
      <x:c r="G366" s="12" t="str">
        <x:v>Implementation-ready</x:v>
      </x:c>
    </x:row>
    <x:row r="367">
      <x:c r="A367" s="12" t="str">
        <x:v>P26-REQ-366</x:v>
      </x:c>
      <x:c r="B367" s="12" t="str">
        <x:v>Subcontract Cost</x:v>
      </x:c>
      <x:c r="C367" s="12" t="str">
        <x:v>Must</x:v>
      </x:c>
      <x:c r="D367" s="12" t="str">
        <x:v>GrounUp shall implement governed subcontract cost execution capability 366 using versioned Phase 25 library data, explicit quantity/production assumptions, deterministic calculation lineage, tenant security and mapped acceptance evidence.</x:v>
      </x:c>
      <x:c r="E367" s="12" t="str">
        <x:v>Capability 366 passes when inputs, library snapshot/version, formulas/rules, units, output values, rounding, scenario behavior, overrides, audit lineage and mapped tests are reproducible.</x:v>
      </x:c>
      <x:c r="F367" s="12" t="str">
        <x:v>v1.0.0</x:v>
      </x:c>
      <x:c r="G367" s="12" t="str">
        <x:v>Implementation-ready</x:v>
      </x:c>
    </x:row>
    <x:row r="368">
      <x:c r="A368" s="12" t="str">
        <x:v>P26-REQ-367</x:v>
      </x:c>
      <x:c r="B368" s="12" t="str">
        <x:v>Production Rate</x:v>
      </x:c>
      <x:c r="C368" s="12" t="str">
        <x:v>Must</x:v>
      </x:c>
      <x:c r="D368" s="12" t="str">
        <x:v>GrounUp shall implement governed production rate execution capability 367 using versioned Phase 25 library data, explicit quantity/production assumptions, deterministic calculation lineage, tenant security and mapped acceptance evidence.</x:v>
      </x:c>
      <x:c r="E368" s="12" t="str">
        <x:v>Capability 367 passes when inputs, library snapshot/version, formulas/rules, units, output values, rounding, scenario behavior, overrides, audit lineage and mapped tests are reproducible.</x:v>
      </x:c>
      <x:c r="F368" s="12" t="str">
        <x:v>v1.0.0</x:v>
      </x:c>
      <x:c r="G368" s="12" t="str">
        <x:v>Implementation-ready</x:v>
      </x:c>
    </x:row>
    <x:row r="369">
      <x:c r="A369" s="12" t="str">
        <x:v>P26-REQ-368</x:v>
      </x:c>
      <x:c r="B369" s="12" t="str">
        <x:v>Production Modifiers</x:v>
      </x:c>
      <x:c r="C369" s="12" t="str">
        <x:v>Must</x:v>
      </x:c>
      <x:c r="D369" s="12" t="str">
        <x:v>GrounUp shall implement governed production modifiers execution capability 368 using versioned Phase 25 library data, explicit quantity/production assumptions, deterministic calculation lineage, tenant security and mapped acceptance evidence.</x:v>
      </x:c>
      <x:c r="E369" s="12" t="str">
        <x:v>Capability 368 passes when inputs, library snapshot/version, formulas/rules, units, output values, rounding, scenario behavior, overrides, audit lineage and mapped tests are reproducible.</x:v>
      </x:c>
      <x:c r="F369" s="12" t="str">
        <x:v>v1.0.0</x:v>
      </x:c>
      <x:c r="G369" s="12" t="str">
        <x:v>Implementation-ready</x:v>
      </x:c>
    </x:row>
    <x:row r="370">
      <x:c r="A370" s="12" t="str">
        <x:v>P26-REQ-369</x:v>
      </x:c>
      <x:c r="B370" s="12" t="str">
        <x:v>Duration Calculation</x:v>
      </x:c>
      <x:c r="C370" s="12" t="str">
        <x:v>Must</x:v>
      </x:c>
      <x:c r="D370" s="12" t="str">
        <x:v>GrounUp shall implement governed duration calculation execution capability 369 using versioned Phase 25 library data, explicit quantity/production assumptions, deterministic calculation lineage, tenant security and mapped acceptance evidence.</x:v>
      </x:c>
      <x:c r="E370" s="12" t="str">
        <x:v>Capability 369 passes when inputs, library snapshot/version, formulas/rules, units, output values, rounding, scenario behavior, overrides, audit lineage and mapped tests are reproducible.</x:v>
      </x:c>
      <x:c r="F370" s="12" t="str">
        <x:v>v1.0.0</x:v>
      </x:c>
      <x:c r="G370" s="12" t="str">
        <x:v>Implementation-ready</x:v>
      </x:c>
    </x:row>
    <x:row r="371">
      <x:c r="A371" s="12" t="str">
        <x:v>P26-REQ-370</x:v>
      </x:c>
      <x:c r="B371" s="12" t="str">
        <x:v>Work Hours &amp; Shifts</x:v>
      </x:c>
      <x:c r="C371" s="12" t="str">
        <x:v>Must</x:v>
      </x:c>
      <x:c r="D371" s="12" t="str">
        <x:v>GrounUp shall implement governed work hours &amp; shifts execution capability 370 using versioned Phase 25 library data, explicit quantity/production assumptions, deterministic calculation lineage, tenant security and mapped acceptance evidence.</x:v>
      </x:c>
      <x:c r="E371" s="12" t="str">
        <x:v>Capability 370 passes when inputs, library snapshot/version, formulas/rules, units, output values, rounding, scenario behavior, overrides, audit lineage and mapped tests are reproducible.</x:v>
      </x:c>
      <x:c r="F371" s="12" t="str">
        <x:v>v1.0.0</x:v>
      </x:c>
      <x:c r="G371" s="12" t="str">
        <x:v>Implementation-ready</x:v>
      </x:c>
    </x:row>
    <x:row r="372">
      <x:c r="A372" s="12" t="str">
        <x:v>P26-REQ-371</x:v>
      </x:c>
      <x:c r="B372" s="12" t="str">
        <x:v>Mobilization</x:v>
      </x:c>
      <x:c r="C372" s="12" t="str">
        <x:v>Must</x:v>
      </x:c>
      <x:c r="D372" s="12" t="str">
        <x:v>GrounUp shall implement governed mobilization execution capability 371 using versioned Phase 25 library data, explicit quantity/production assumptions, deterministic calculation lineage, tenant security and mapped acceptance evidence.</x:v>
      </x:c>
      <x:c r="E372" s="12" t="str">
        <x:v>Capability 371 passes when inputs, library snapshot/version, formulas/rules, units, output values, rounding, scenario behavior, overrides, audit lineage and mapped tests are reproducible.</x:v>
      </x:c>
      <x:c r="F372" s="12" t="str">
        <x:v>v1.0.0</x:v>
      </x:c>
      <x:c r="G372" s="12" t="str">
        <x:v>Implementation-ready</x:v>
      </x:c>
    </x:row>
    <x:row r="373">
      <x:c r="A373" s="12" t="str">
        <x:v>P26-REQ-372</x:v>
      </x:c>
      <x:c r="B373" s="12" t="str">
        <x:v>Demobilization</x:v>
      </x:c>
      <x:c r="C373" s="12" t="str">
        <x:v>Must</x:v>
      </x:c>
      <x:c r="D373" s="12" t="str">
        <x:v>GrounUp shall implement governed demobilization execution capability 372 using versioned Phase 25 library data, explicit quantity/production assumptions, deterministic calculation lineage, tenant security and mapped acceptance evidence.</x:v>
      </x:c>
      <x:c r="E373" s="12" t="str">
        <x:v>Capability 372 passes when inputs, library snapshot/version, formulas/rules, units, output values, rounding, scenario behavior, overrides, audit lineage and mapped tests are reproducible.</x:v>
      </x:c>
      <x:c r="F373" s="12" t="str">
        <x:v>v1.0.0</x:v>
      </x:c>
      <x:c r="G373" s="12" t="str">
        <x:v>Implementation-ready</x:v>
      </x:c>
    </x:row>
    <x:row r="374">
      <x:c r="A374" s="12" t="str">
        <x:v>P26-REQ-373</x:v>
      </x:c>
      <x:c r="B374" s="12" t="str">
        <x:v>Indirect Costs</x:v>
      </x:c>
      <x:c r="C374" s="12" t="str">
        <x:v>Must</x:v>
      </x:c>
      <x:c r="D374" s="12" t="str">
        <x:v>GrounUp shall implement governed indirect costs execution capability 373 using versioned Phase 25 library data, explicit quantity/production assumptions, deterministic calculation lineage, tenant security and mapped acceptance evidence.</x:v>
      </x:c>
      <x:c r="E374" s="12" t="str">
        <x:v>Capability 373 passes when inputs, library snapshot/version, formulas/rules, units, output values, rounding, scenario behavior, overrides, audit lineage and mapped tests are reproducible.</x:v>
      </x:c>
      <x:c r="F374" s="12" t="str">
        <x:v>v1.0.0</x:v>
      </x:c>
      <x:c r="G374" s="12" t="str">
        <x:v>Implementation-ready</x:v>
      </x:c>
    </x:row>
    <x:row r="375">
      <x:c r="A375" s="12" t="str">
        <x:v>P26-REQ-374</x:v>
      </x:c>
      <x:c r="B375" s="12" t="str">
        <x:v>Contingency</x:v>
      </x:c>
      <x:c r="C375" s="12" t="str">
        <x:v>Must</x:v>
      </x:c>
      <x:c r="D375" s="12" t="str">
        <x:v>GrounUp shall implement governed contingency execution capability 374 using versioned Phase 25 library data, explicit quantity/production assumptions, deterministic calculation lineage, tenant security and mapped acceptance evidence.</x:v>
      </x:c>
      <x:c r="E375" s="12" t="str">
        <x:v>Capability 374 passes when inputs, library snapshot/version, formulas/rules, units, output values, rounding, scenario behavior, overrides, audit lineage and mapped tests are reproducible.</x:v>
      </x:c>
      <x:c r="F375" s="12" t="str">
        <x:v>v1.0.0</x:v>
      </x:c>
      <x:c r="G375" s="12" t="str">
        <x:v>Implementation-ready</x:v>
      </x:c>
    </x:row>
    <x:row r="376">
      <x:c r="A376" s="12" t="str">
        <x:v>P26-REQ-375</x:v>
      </x:c>
      <x:c r="B376" s="12" t="str">
        <x:v>Markup</x:v>
      </x:c>
      <x:c r="C376" s="12" t="str">
        <x:v>Must</x:v>
      </x:c>
      <x:c r="D376" s="12" t="str">
        <x:v>GrounUp shall implement governed markup execution capability 375 using versioned Phase 25 library data, explicit quantity/production assumptions, deterministic calculation lineage, tenant security and mapped acceptance evidence.</x:v>
      </x:c>
      <x:c r="E376" s="12" t="str">
        <x:v>Capability 375 passes when inputs, library snapshot/version, formulas/rules, units, output values, rounding, scenario behavior, overrides, audit lineage and mapped tests are reproducible.</x:v>
      </x:c>
      <x:c r="F376" s="12" t="str">
        <x:v>v1.0.0</x:v>
      </x:c>
      <x:c r="G376" s="12" t="str">
        <x:v>Implementation-ready</x:v>
      </x:c>
    </x:row>
    <x:row r="377">
      <x:c r="A377" s="12" t="str">
        <x:v>P26-REQ-376</x:v>
      </x:c>
      <x:c r="B377" s="12" t="str">
        <x:v>Overhead &amp; Profit</x:v>
      </x:c>
      <x:c r="C377" s="12" t="str">
        <x:v>Must</x:v>
      </x:c>
      <x:c r="D377" s="12" t="str">
        <x:v>GrounUp shall implement governed overhead &amp; profit execution capability 376 using versioned Phase 25 library data, explicit quantity/production assumptions, deterministic calculation lineage, tenant security and mapped acceptance evidence.</x:v>
      </x:c>
      <x:c r="E377" s="12" t="str">
        <x:v>Capability 376 passes when inputs, library snapshot/version, formulas/rules, units, output values, rounding, scenario behavior, overrides, audit lineage and mapped tests are reproducible.</x:v>
      </x:c>
      <x:c r="F377" s="12" t="str">
        <x:v>v1.0.0</x:v>
      </x:c>
      <x:c r="G377" s="12" t="str">
        <x:v>Implementation-ready</x:v>
      </x:c>
    </x:row>
    <x:row r="378">
      <x:c r="A378" s="12" t="str">
        <x:v>P26-REQ-377</x:v>
      </x:c>
      <x:c r="B378" s="12" t="str">
        <x:v>Tax &amp; Bond</x:v>
      </x:c>
      <x:c r="C378" s="12" t="str">
        <x:v>Must</x:v>
      </x:c>
      <x:c r="D378" s="12" t="str">
        <x:v>GrounUp shall implement governed tax &amp; bond execution capability 377 using versioned Phase 25 library data, explicit quantity/production assumptions, deterministic calculation lineage, tenant security and mapped acceptance evidence.</x:v>
      </x:c>
      <x:c r="E378" s="12" t="str">
        <x:v>Capability 377 passes when inputs, library snapshot/version, formulas/rules, units, output values, rounding, scenario behavior, overrides, audit lineage and mapped tests are reproducible.</x:v>
      </x:c>
      <x:c r="F378" s="12" t="str">
        <x:v>v1.0.0</x:v>
      </x:c>
      <x:c r="G378" s="12" t="str">
        <x:v>Implementation-ready</x:v>
      </x:c>
    </x:row>
    <x:row r="379">
      <x:c r="A379" s="12" t="str">
        <x:v>P26-REQ-378</x:v>
      </x:c>
      <x:c r="B379" s="12" t="str">
        <x:v>Unit Price</x:v>
      </x:c>
      <x:c r="C379" s="12" t="str">
        <x:v>Must</x:v>
      </x:c>
      <x:c r="D379" s="12" t="str">
        <x:v>GrounUp shall implement governed unit price execution capability 378 using versioned Phase 25 library data, explicit quantity/production assumptions, deterministic calculation lineage, tenant security and mapped acceptance evidence.</x:v>
      </x:c>
      <x:c r="E379" s="12" t="str">
        <x:v>Capability 378 passes when inputs, library snapshot/version, formulas/rules, units, output values, rounding, scenario behavior, overrides, audit lineage and mapped tests are reproducible.</x:v>
      </x:c>
      <x:c r="F379" s="12" t="str">
        <x:v>v1.0.0</x:v>
      </x:c>
      <x:c r="G379" s="12" t="str">
        <x:v>Implementation-ready</x:v>
      </x:c>
    </x:row>
    <x:row r="380">
      <x:c r="A380" s="12" t="str">
        <x:v>P26-REQ-379</x:v>
      </x:c>
      <x:c r="B380" s="12" t="str">
        <x:v>Bid Price</x:v>
      </x:c>
      <x:c r="C380" s="12" t="str">
        <x:v>Must</x:v>
      </x:c>
      <x:c r="D380" s="12" t="str">
        <x:v>GrounUp shall implement governed bid price execution capability 379 using versioned Phase 25 library data, explicit quantity/production assumptions, deterministic calculation lineage, tenant security and mapped acceptance evidence.</x:v>
      </x:c>
      <x:c r="E380" s="12" t="str">
        <x:v>Capability 379 passes when inputs, library snapshot/version, formulas/rules, units, output values, rounding, scenario behavior, overrides, audit lineage and mapped tests are reproducible.</x:v>
      </x:c>
      <x:c r="F380" s="12" t="str">
        <x:v>v1.0.0</x:v>
      </x:c>
      <x:c r="G380" s="12" t="str">
        <x:v>Implementation-ready</x:v>
      </x:c>
    </x:row>
    <x:row r="381">
      <x:c r="A381" s="12" t="str">
        <x:v>P26-REQ-380</x:v>
      </x:c>
      <x:c r="B381" s="12" t="str">
        <x:v>Low/High Range</x:v>
      </x:c>
      <x:c r="C381" s="12" t="str">
        <x:v>Must</x:v>
      </x:c>
      <x:c r="D381" s="12" t="str">
        <x:v>GrounUp shall implement governed low/high range execution capability 380 using versioned Phase 25 library data, explicit quantity/production assumptions, deterministic calculation lineage, tenant security and mapped acceptance evidence.</x:v>
      </x:c>
      <x:c r="E381" s="12" t="str">
        <x:v>Capability 380 passes when inputs, library snapshot/version, formulas/rules, units, output values, rounding, scenario behavior, overrides, audit lineage and mapped tests are reproducible.</x:v>
      </x:c>
      <x:c r="F381" s="12" t="str">
        <x:v>v1.0.0</x:v>
      </x:c>
      <x:c r="G381" s="12" t="str">
        <x:v>Implementation-ready</x:v>
      </x:c>
    </x:row>
    <x:row r="382">
      <x:c r="A382" s="12" t="str">
        <x:v>P26-REQ-381</x:v>
      </x:c>
      <x:c r="B382" s="12" t="str">
        <x:v>Scenario Comparison</x:v>
      </x:c>
      <x:c r="C382" s="12" t="str">
        <x:v>Must</x:v>
      </x:c>
      <x:c r="D382" s="12" t="str">
        <x:v>GrounUp shall implement governed scenario comparison execution capability 381 using versioned Phase 25 library data, explicit quantity/production assumptions, deterministic calculation lineage, tenant security and mapped acceptance evidence.</x:v>
      </x:c>
      <x:c r="E382" s="12" t="str">
        <x:v>Capability 381 passes when inputs, library snapshot/version, formulas/rules, units, output values, rounding, scenario behavior, overrides, audit lineage and mapped tests are reproducible.</x:v>
      </x:c>
      <x:c r="F382" s="12" t="str">
        <x:v>v1.0.0</x:v>
      </x:c>
      <x:c r="G382" s="12" t="str">
        <x:v>Implementation-ready</x:v>
      </x:c>
    </x:row>
    <x:row r="383">
      <x:c r="A383" s="12" t="str">
        <x:v>P26-REQ-382</x:v>
      </x:c>
      <x:c r="B383" s="12" t="str">
        <x:v>Estimate Confidence</x:v>
      </x:c>
      <x:c r="C383" s="12" t="str">
        <x:v>Must</x:v>
      </x:c>
      <x:c r="D383" s="12" t="str">
        <x:v>GrounUp shall implement governed estimate confidence execution capability 382 using versioned Phase 25 library data, explicit quantity/production assumptions, deterministic calculation lineage, tenant security and mapped acceptance evidence.</x:v>
      </x:c>
      <x:c r="E383" s="12" t="str">
        <x:v>Capability 382 passes when inputs, library snapshot/version, formulas/rules, units, output values, rounding, scenario behavior, overrides, audit lineage and mapped tests are reproducible.</x:v>
      </x:c>
      <x:c r="F383" s="12" t="str">
        <x:v>v1.0.0</x:v>
      </x:c>
      <x:c r="G383" s="12" t="str">
        <x:v>Implementation-ready</x:v>
      </x:c>
    </x:row>
    <x:row r="384">
      <x:c r="A384" s="12" t="str">
        <x:v>P26-REQ-383</x:v>
      </x:c>
      <x:c r="B384" s="12" t="str">
        <x:v>Regional Pricing</x:v>
      </x:c>
      <x:c r="C384" s="12" t="str">
        <x:v>Must</x:v>
      </x:c>
      <x:c r="D384" s="12" t="str">
        <x:v>GrounUp shall implement governed regional pricing execution capability 383 using versioned Phase 25 library data, explicit quantity/production assumptions, deterministic calculation lineage, tenant security and mapped acceptance evidence.</x:v>
      </x:c>
      <x:c r="E384" s="12" t="str">
        <x:v>Capability 383 passes when inputs, library snapshot/version, formulas/rules, units, output values, rounding, scenario behavior, overrides, audit lineage and mapped tests are reproducible.</x:v>
      </x:c>
      <x:c r="F384" s="12" t="str">
        <x:v>v1.0.0</x:v>
      </x:c>
      <x:c r="G384" s="12" t="str">
        <x:v>Implementation-ready</x:v>
      </x:c>
    </x:row>
    <x:row r="385">
      <x:c r="A385" s="12" t="str">
        <x:v>P26-REQ-384</x:v>
      </x:c>
      <x:c r="B385" s="12" t="str">
        <x:v>Vendor Quote Override</x:v>
      </x:c>
      <x:c r="C385" s="12" t="str">
        <x:v>Must</x:v>
      </x:c>
      <x:c r="D385" s="12" t="str">
        <x:v>GrounUp shall implement governed vendor quote override execution capability 384 using versioned Phase 25 library data, explicit quantity/production assumptions, deterministic calculation lineage, tenant security and mapped acceptance evidence.</x:v>
      </x:c>
      <x:c r="E385" s="12" t="str">
        <x:v>Capability 384 passes when inputs, library snapshot/version, formulas/rules, units, output values, rounding, scenario behavior, overrides, audit lineage and mapped tests are reproducible.</x:v>
      </x:c>
      <x:c r="F385" s="12" t="str">
        <x:v>v1.0.0</x:v>
      </x:c>
      <x:c r="G385" s="12" t="str">
        <x:v>Implementation-ready</x:v>
      </x:c>
    </x:row>
    <x:row r="386">
      <x:c r="A386" s="12" t="str">
        <x:v>P26-REQ-385</x:v>
      </x:c>
      <x:c r="B386" s="12" t="str">
        <x:v>Snapshot Reproducibility</x:v>
      </x:c>
      <x:c r="C386" s="12" t="str">
        <x:v>Must</x:v>
      </x:c>
      <x:c r="D386" s="12" t="str">
        <x:v>GrounUp shall implement governed snapshot reproducibility execution capability 385 using versioned Phase 25 library data, explicit quantity/production assumptions, deterministic calculation lineage, tenant security and mapped acceptance evidence.</x:v>
      </x:c>
      <x:c r="E386" s="12" t="str">
        <x:v>Capability 385 passes when inputs, library snapshot/version, formulas/rules, units, output values, rounding, scenario behavior, overrides, audit lineage and mapped tests are reproducible.</x:v>
      </x:c>
      <x:c r="F386" s="12" t="str">
        <x:v>v1.0.0</x:v>
      </x:c>
      <x:c r="G386" s="12" t="str">
        <x:v>Implementation-ready</x:v>
      </x:c>
    </x:row>
    <x:row r="387">
      <x:c r="A387" s="12" t="str">
        <x:v>P26-REQ-386</x:v>
      </x:c>
      <x:c r="B387" s="12" t="str">
        <x:v>Service Catalog Writeback</x:v>
      </x:c>
      <x:c r="C387" s="12" t="str">
        <x:v>Must</x:v>
      </x:c>
      <x:c r="D387" s="12" t="str">
        <x:v>GrounUp shall implement governed service catalog writeback execution capability 386 using versioned Phase 25 library data, explicit quantity/production assumptions, deterministic calculation lineage, tenant security and mapped acceptance evidence.</x:v>
      </x:c>
      <x:c r="E387" s="12" t="str">
        <x:v>Capability 386 passes when inputs, library snapshot/version, formulas/rules, units, output values, rounding, scenario behavior, overrides, audit lineage and mapped tests are reproducible.</x:v>
      </x:c>
      <x:c r="F387" s="12" t="str">
        <x:v>v1.0.0</x:v>
      </x:c>
      <x:c r="G387" s="12" t="str">
        <x:v>Implementation-ready</x:v>
      </x:c>
    </x:row>
    <x:row r="388">
      <x:c r="A388" s="12" t="str">
        <x:v>P26-REQ-387</x:v>
      </x:c>
      <x:c r="B388" s="12" t="str">
        <x:v>AI Estimate Assist</x:v>
      </x:c>
      <x:c r="C388" s="12" t="str">
        <x:v>Must</x:v>
      </x:c>
      <x:c r="D388" s="12" t="str">
        <x:v>GrounUp shall implement governed ai estimate assist execution capability 387 using versioned Phase 25 library data, explicit quantity/production assumptions, deterministic calculation lineage, tenant security and mapped acceptance evidence.</x:v>
      </x:c>
      <x:c r="E388" s="12" t="str">
        <x:v>Capability 387 passes when inputs, library snapshot/version, formulas/rules, units, output values, rounding, scenario behavior, overrides, audit lineage and mapped tests are reproducible.</x:v>
      </x:c>
      <x:c r="F388" s="12" t="str">
        <x:v>v1.0.0</x:v>
      </x:c>
      <x:c r="G388" s="12" t="str">
        <x:v>Implementation-ready</x:v>
      </x:c>
    </x:row>
    <x:row r="389">
      <x:c r="A389" s="12" t="str">
        <x:v>P26-REQ-388</x:v>
      </x:c>
      <x:c r="B389" s="12" t="str">
        <x:v>Estimate Review &amp; Approval</x:v>
      </x:c>
      <x:c r="C389" s="12" t="str">
        <x:v>Must</x:v>
      </x:c>
      <x:c r="D389" s="12" t="str">
        <x:v>GrounUp shall implement governed estimate review &amp; approval execution capability 388 using versioned Phase 25 library data, explicit quantity/production assumptions, deterministic calculation lineage, tenant security and mapped acceptance evidence.</x:v>
      </x:c>
      <x:c r="E389" s="12" t="str">
        <x:v>Capability 388 passes when inputs, library snapshot/version, formulas/rules, units, output values, rounding, scenario behavior, overrides, audit lineage and mapped tests are reproducible.</x:v>
      </x:c>
      <x:c r="F389" s="12" t="str">
        <x:v>v1.0.0</x:v>
      </x:c>
      <x:c r="G389" s="12" t="str">
        <x:v>Implementation-ready</x:v>
      </x:c>
    </x:row>
    <x:row r="390">
      <x:c r="A390" s="12" t="str">
        <x:v>P26-REQ-389</x:v>
      </x:c>
      <x:c r="B390" s="12" t="str">
        <x:v>Estimate Export</x:v>
      </x:c>
      <x:c r="C390" s="12" t="str">
        <x:v>Must</x:v>
      </x:c>
      <x:c r="D390" s="12" t="str">
        <x:v>GrounUp shall implement governed estimate export execution capability 389 using versioned Phase 25 library data, explicit quantity/production assumptions, deterministic calculation lineage, tenant security and mapped acceptance evidence.</x:v>
      </x:c>
      <x:c r="E390" s="12" t="str">
        <x:v>Capability 389 passes when inputs, library snapshot/version, formulas/rules, units, output values, rounding, scenario behavior, overrides, audit lineage and mapped tests are reproducible.</x:v>
      </x:c>
      <x:c r="F390" s="12" t="str">
        <x:v>v1.0.0</x:v>
      </x:c>
      <x:c r="G390" s="12" t="str">
        <x:v>Implementation-ready</x:v>
      </x:c>
    </x:row>
    <x:row r="391">
      <x:c r="A391" s="12" t="str">
        <x:v>P26-REQ-390</x:v>
      </x:c>
      <x:c r="B391" s="12" t="str">
        <x:v>Proposal Handoff</x:v>
      </x:c>
      <x:c r="C391" s="12" t="str">
        <x:v>Must</x:v>
      </x:c>
      <x:c r="D391" s="12" t="str">
        <x:v>GrounUp shall implement governed proposal handoff execution capability 390 using versioned Phase 25 library data, explicit quantity/production assumptions, deterministic calculation lineage, tenant security and mapped acceptance evidence.</x:v>
      </x:c>
      <x:c r="E391" s="12" t="str">
        <x:v>Capability 390 passes when inputs, library snapshot/version, formulas/rules, units, output values, rounding, scenario behavior, overrides, audit lineage and mapped tests are reproducible.</x:v>
      </x:c>
      <x:c r="F391" s="12" t="str">
        <x:v>v1.0.0</x:v>
      </x:c>
      <x:c r="G391" s="12" t="str">
        <x:v>Implementation-ready</x:v>
      </x:c>
    </x:row>
    <x:row r="392">
      <x:c r="A392" s="12" t="str">
        <x:v>P26-REQ-391</x:v>
      </x:c>
      <x:c r="B392" s="12" t="str">
        <x:v>Job Cost Baseline</x:v>
      </x:c>
      <x:c r="C392" s="12" t="str">
        <x:v>Must</x:v>
      </x:c>
      <x:c r="D392" s="12" t="str">
        <x:v>GrounUp shall implement governed job cost baseline execution capability 391 using versioned Phase 25 library data, explicit quantity/production assumptions, deterministic calculation lineage, tenant security and mapped acceptance evidence.</x:v>
      </x:c>
      <x:c r="E392" s="12" t="str">
        <x:v>Capability 391 passes when inputs, library snapshot/version, formulas/rules, units, output values, rounding, scenario behavior, overrides, audit lineage and mapped tests are reproducible.</x:v>
      </x:c>
      <x:c r="F392" s="12" t="str">
        <x:v>v1.0.0</x:v>
      </x:c>
      <x:c r="G392" s="12" t="str">
        <x:v>Implementation-ready</x:v>
      </x:c>
    </x:row>
    <x:row r="393">
      <x:c r="A393" s="12" t="str">
        <x:v>P26-REQ-392</x:v>
      </x:c>
      <x:c r="B393" s="12" t="str">
        <x:v>Audit &amp; Traceability</x:v>
      </x:c>
      <x:c r="C393" s="12" t="str">
        <x:v>Must</x:v>
      </x:c>
      <x:c r="D393" s="12" t="str">
        <x:v>GrounUp shall implement governed audit &amp; traceability execution capability 392 using versioned Phase 25 library data, explicit quantity/production assumptions, deterministic calculation lineage, tenant security and mapped acceptance evidence.</x:v>
      </x:c>
      <x:c r="E393" s="12" t="str">
        <x:v>Capability 392 passes when inputs, library snapshot/version, formulas/rules, units, output values, rounding, scenario behavior, overrides, audit lineage and mapped tests are reproducible.</x:v>
      </x:c>
      <x:c r="F393" s="12" t="str">
        <x:v>v1.0.0</x:v>
      </x:c>
      <x:c r="G393" s="12" t="str">
        <x:v>Implementation-ready</x:v>
      </x:c>
    </x:row>
    <x:row r="394">
      <x:c r="A394" s="12" t="str">
        <x:v>P26-REQ-393</x:v>
      </x:c>
      <x:c r="B394" s="12" t="str">
        <x:v>Estimate Lifecycle</x:v>
      </x:c>
      <x:c r="C394" s="12" t="str">
        <x:v>Must</x:v>
      </x:c>
      <x:c r="D394" s="12" t="str">
        <x:v>GrounUp shall implement governed estimate lifecycle execution capability 393 using versioned Phase 25 library data, explicit quantity/production assumptions, deterministic calculation lineage, tenant security and mapped acceptance evidence.</x:v>
      </x:c>
      <x:c r="E394" s="12" t="str">
        <x:v>Capability 393 passes when inputs, library snapshot/version, formulas/rules, units, output values, rounding, scenario behavior, overrides, audit lineage and mapped tests are reproducible.</x:v>
      </x:c>
      <x:c r="F394" s="12" t="str">
        <x:v>v1.0.0</x:v>
      </x:c>
      <x:c r="G394" s="12" t="str">
        <x:v>Implementation-ready</x:v>
      </x:c>
    </x:row>
    <x:row r="395">
      <x:c r="A395" s="12" t="str">
        <x:v>P26-REQ-394</x:v>
      </x:c>
      <x:c r="B395" s="12" t="str">
        <x:v>Estimate Versions</x:v>
      </x:c>
      <x:c r="C395" s="12" t="str">
        <x:v>Must</x:v>
      </x:c>
      <x:c r="D395" s="12" t="str">
        <x:v>GrounUp shall implement governed estimate versions execution capability 394 using versioned Phase 25 library data, explicit quantity/production assumptions, deterministic calculation lineage, tenant security and mapped acceptance evidence.</x:v>
      </x:c>
      <x:c r="E395" s="12" t="str">
        <x:v>Capability 394 passes when inputs, library snapshot/version, formulas/rules, units, output values, rounding, scenario behavior, overrides, audit lineage and mapped tests are reproducible.</x:v>
      </x:c>
      <x:c r="F395" s="12" t="str">
        <x:v>v1.0.0</x:v>
      </x:c>
      <x:c r="G395" s="12" t="str">
        <x:v>Implementation-ready</x:v>
      </x:c>
    </x:row>
    <x:row r="396">
      <x:c r="A396" s="12" t="str">
        <x:v>P26-REQ-395</x:v>
      </x:c>
      <x:c r="B396" s="12" t="str">
        <x:v>Estimate Templates</x:v>
      </x:c>
      <x:c r="C396" s="12" t="str">
        <x:v>Must</x:v>
      </x:c>
      <x:c r="D396" s="12" t="str">
        <x:v>GrounUp shall implement governed estimate templates execution capability 395 using versioned Phase 25 library data, explicit quantity/production assumptions, deterministic calculation lineage, tenant security and mapped acceptance evidence.</x:v>
      </x:c>
      <x:c r="E396" s="12" t="str">
        <x:v>Capability 395 passes when inputs, library snapshot/version, formulas/rules, units, output values, rounding, scenario behavior, overrides, audit lineage and mapped tests are reproducible.</x:v>
      </x:c>
      <x:c r="F396" s="12" t="str">
        <x:v>v1.0.0</x:v>
      </x:c>
      <x:c r="G396" s="12" t="str">
        <x:v>Implementation-ready</x:v>
      </x:c>
    </x:row>
    <x:row r="397">
      <x:c r="A397" s="12" t="str">
        <x:v>P26-REQ-396</x:v>
      </x:c>
      <x:c r="B397" s="12" t="str">
        <x:v>Service Selection</x:v>
      </x:c>
      <x:c r="C397" s="12" t="str">
        <x:v>Must</x:v>
      </x:c>
      <x:c r="D397" s="12" t="str">
        <x:v>GrounUp shall implement governed service selection execution capability 396 using versioned Phase 25 library data, explicit quantity/production assumptions, deterministic calculation lineage, tenant security and mapped acceptance evidence.</x:v>
      </x:c>
      <x:c r="E397" s="12" t="str">
        <x:v>Capability 396 passes when inputs, library snapshot/version, formulas/rules, units, output values, rounding, scenario behavior, overrides, audit lineage and mapped tests are reproducible.</x:v>
      </x:c>
      <x:c r="F397" s="12" t="str">
        <x:v>v1.0.0</x:v>
      </x:c>
      <x:c r="G397" s="12" t="str">
        <x:v>Implementation-ready</x:v>
      </x:c>
    </x:row>
    <x:row r="398">
      <x:c r="A398" s="12" t="str">
        <x:v>P26-REQ-397</x:v>
      </x:c>
      <x:c r="B398" s="12" t="str">
        <x:v>Assembly Expansion</x:v>
      </x:c>
      <x:c r="C398" s="12" t="str">
        <x:v>Must</x:v>
      </x:c>
      <x:c r="D398" s="12" t="str">
        <x:v>GrounUp shall implement governed assembly expansion execution capability 397 using versioned Phase 25 library data, explicit quantity/production assumptions, deterministic calculation lineage, tenant security and mapped acceptance evidence.</x:v>
      </x:c>
      <x:c r="E398" s="12" t="str">
        <x:v>Capability 397 passes when inputs, library snapshot/version, formulas/rules, units, output values, rounding, scenario behavior, overrides, audit lineage and mapped tests are reproducible.</x:v>
      </x:c>
      <x:c r="F398" s="12" t="str">
        <x:v>v1.0.0</x:v>
      </x:c>
      <x:c r="G398" s="12" t="str">
        <x:v>Implementation-ready</x:v>
      </x:c>
    </x:row>
    <x:row r="399">
      <x:c r="A399" s="12" t="str">
        <x:v>P26-REQ-398</x:v>
      </x:c>
      <x:c r="B399" s="12" t="str">
        <x:v>Quantity Input</x:v>
      </x:c>
      <x:c r="C399" s="12" t="str">
        <x:v>Must</x:v>
      </x:c>
      <x:c r="D399" s="12" t="str">
        <x:v>GrounUp shall implement governed quantity input execution capability 398 using versioned Phase 25 library data, explicit quantity/production assumptions, deterministic calculation lineage, tenant security and mapped acceptance evidence.</x:v>
      </x:c>
      <x:c r="E399" s="12" t="str">
        <x:v>Capability 398 passes when inputs, library snapshot/version, formulas/rules, units, output values, rounding, scenario behavior, overrides, audit lineage and mapped tests are reproducible.</x:v>
      </x:c>
      <x:c r="F399" s="12" t="str">
        <x:v>v1.0.0</x:v>
      </x:c>
      <x:c r="G399" s="12" t="str">
        <x:v>Implementation-ready</x:v>
      </x:c>
    </x:row>
    <x:row r="400">
      <x:c r="A400" s="12" t="str">
        <x:v>P26-REQ-399</x:v>
      </x:c>
      <x:c r="B400" s="12" t="str">
        <x:v>Quantity Takeoff Intake</x:v>
      </x:c>
      <x:c r="C400" s="12" t="str">
        <x:v>Must</x:v>
      </x:c>
      <x:c r="D400" s="12" t="str">
        <x:v>GrounUp shall implement governed quantity takeoff intake execution capability 399 using versioned Phase 25 library data, explicit quantity/production assumptions, deterministic calculation lineage, tenant security and mapped acceptance evidence.</x:v>
      </x:c>
      <x:c r="E400" s="12" t="str">
        <x:v>Capability 399 passes when inputs, library snapshot/version, formulas/rules, units, output values, rounding, scenario behavior, overrides, audit lineage and mapped tests are reproducible.</x:v>
      </x:c>
      <x:c r="F400" s="12" t="str">
        <x:v>v1.0.0</x:v>
      </x:c>
      <x:c r="G400" s="12" t="str">
        <x:v>Implementation-ready</x:v>
      </x:c>
    </x:row>
    <x:row r="401">
      <x:c r="A401" s="12" t="str">
        <x:v>P26-REQ-400</x:v>
      </x:c>
      <x:c r="B401" s="12" t="str">
        <x:v>Labor Cost</x:v>
      </x:c>
      <x:c r="C401" s="12" t="str">
        <x:v>Must</x:v>
      </x:c>
      <x:c r="D401" s="12" t="str">
        <x:v>GrounUp shall implement governed labor cost execution capability 400 using versioned Phase 25 library data, explicit quantity/production assumptions, deterministic calculation lineage, tenant security and mapped acceptance evidence.</x:v>
      </x:c>
      <x:c r="E401" s="12" t="str">
        <x:v>Capability 400 passes when inputs, library snapshot/version, formulas/rules, units, output values, rounding, scenario behavior, overrides, audit lineage and mapped tests are reproducible.</x:v>
      </x:c>
      <x:c r="F401" s="12" t="str">
        <x:v>v1.0.0</x:v>
      </x:c>
      <x:c r="G401" s="12" t="str">
        <x:v>Implementation-ready</x:v>
      </x:c>
    </x:row>
    <x:row r="402">
      <x:c r="A402" s="12" t="str">
        <x:v>P26-REQ-401</x:v>
      </x:c>
      <x:c r="B402" s="12" t="str">
        <x:v>Labor Burden</x:v>
      </x:c>
      <x:c r="C402" s="12" t="str">
        <x:v>Must</x:v>
      </x:c>
      <x:c r="D402" s="12" t="str">
        <x:v>GrounUp shall implement governed labor burden execution capability 401 using versioned Phase 25 library data, explicit quantity/production assumptions, deterministic calculation lineage, tenant security and mapped acceptance evidence.</x:v>
      </x:c>
      <x:c r="E402" s="12" t="str">
        <x:v>Capability 401 passes when inputs, library snapshot/version, formulas/rules, units, output values, rounding, scenario behavior, overrides, audit lineage and mapped tests are reproducible.</x:v>
      </x:c>
      <x:c r="F402" s="12" t="str">
        <x:v>v1.0.0</x:v>
      </x:c>
      <x:c r="G402" s="12" t="str">
        <x:v>Implementation-ready</x:v>
      </x:c>
    </x:row>
    <x:row r="403">
      <x:c r="A403" s="12" t="str">
        <x:v>P26-REQ-402</x:v>
      </x:c>
      <x:c r="B403" s="12" t="str">
        <x:v>Crew Composition</x:v>
      </x:c>
      <x:c r="C403" s="12" t="str">
        <x:v>Must</x:v>
      </x:c>
      <x:c r="D403" s="12" t="str">
        <x:v>GrounUp shall implement governed crew composition execution capability 402 using versioned Phase 25 library data, explicit quantity/production assumptions, deterministic calculation lineage, tenant security and mapped acceptance evidence.</x:v>
      </x:c>
      <x:c r="E403" s="12" t="str">
        <x:v>Capability 402 passes when inputs, library snapshot/version, formulas/rules, units, output values, rounding, scenario behavior, overrides, audit lineage and mapped tests are reproducible.</x:v>
      </x:c>
      <x:c r="F403" s="12" t="str">
        <x:v>v1.0.0</x:v>
      </x:c>
      <x:c r="G403" s="12" t="str">
        <x:v>Implementation-ready</x:v>
      </x:c>
    </x:row>
    <x:row r="404">
      <x:c r="A404" s="12" t="str">
        <x:v>P26-REQ-403</x:v>
      </x:c>
      <x:c r="B404" s="12" t="str">
        <x:v>Crew Size Recommendation</x:v>
      </x:c>
      <x:c r="C404" s="12" t="str">
        <x:v>Must</x:v>
      </x:c>
      <x:c r="D404" s="12" t="str">
        <x:v>GrounUp shall implement governed crew size recommendation execution capability 403 using versioned Phase 25 library data, explicit quantity/production assumptions, deterministic calculation lineage, tenant security and mapped acceptance evidence.</x:v>
      </x:c>
      <x:c r="E404" s="12" t="str">
        <x:v>Capability 403 passes when inputs, library snapshot/version, formulas/rules, units, output values, rounding, scenario behavior, overrides, audit lineage and mapped tests are reproducible.</x:v>
      </x:c>
      <x:c r="F404" s="12" t="str">
        <x:v>v1.0.0</x:v>
      </x:c>
      <x:c r="G404" s="12" t="str">
        <x:v>Implementation-ready</x:v>
      </x:c>
    </x:row>
    <x:row r="405">
      <x:c r="A405" s="12" t="str">
        <x:v>P26-REQ-404</x:v>
      </x:c>
      <x:c r="B405" s="12" t="str">
        <x:v>Equipment Selection</x:v>
      </x:c>
      <x:c r="C405" s="12" t="str">
        <x:v>Must</x:v>
      </x:c>
      <x:c r="D405" s="12" t="str">
        <x:v>GrounUp shall implement governed equipment selection execution capability 404 using versioned Phase 25 library data, explicit quantity/production assumptions, deterministic calculation lineage, tenant security and mapped acceptance evidence.</x:v>
      </x:c>
      <x:c r="E405" s="12" t="str">
        <x:v>Capability 404 passes when inputs, library snapshot/version, formulas/rules, units, output values, rounding, scenario behavior, overrides, audit lineage and mapped tests are reproducible.</x:v>
      </x:c>
      <x:c r="F405" s="12" t="str">
        <x:v>v1.0.0</x:v>
      </x:c>
      <x:c r="G405" s="12" t="str">
        <x:v>Implementation-ready</x:v>
      </x:c>
    </x:row>
    <x:row r="406">
      <x:c r="A406" s="12" t="str">
        <x:v>P26-REQ-405</x:v>
      </x:c>
      <x:c r="B406" s="12" t="str">
        <x:v>Equipment Cost</x:v>
      </x:c>
      <x:c r="C406" s="12" t="str">
        <x:v>Must</x:v>
      </x:c>
      <x:c r="D406" s="12" t="str">
        <x:v>GrounUp shall implement governed equipment cost execution capability 405 using versioned Phase 25 library data, explicit quantity/production assumptions, deterministic calculation lineage, tenant security and mapped acceptance evidence.</x:v>
      </x:c>
      <x:c r="E406" s="12" t="str">
        <x:v>Capability 405 passes when inputs, library snapshot/version, formulas/rules, units, output values, rounding, scenario behavior, overrides, audit lineage and mapped tests are reproducible.</x:v>
      </x:c>
      <x:c r="F406" s="12" t="str">
        <x:v>v1.0.0</x:v>
      </x:c>
      <x:c r="G406" s="12" t="str">
        <x:v>Implementation-ready</x:v>
      </x:c>
    </x:row>
    <x:row r="407">
      <x:c r="A407" s="12" t="str">
        <x:v>P26-REQ-406</x:v>
      </x:c>
      <x:c r="B407" s="12" t="str">
        <x:v>Equipment Rate Selection</x:v>
      </x:c>
      <x:c r="C407" s="12" t="str">
        <x:v>Must</x:v>
      </x:c>
      <x:c r="D407" s="12" t="str">
        <x:v>GrounUp shall implement governed equipment rate selection execution capability 406 using versioned Phase 25 library data, explicit quantity/production assumptions, deterministic calculation lineage, tenant security and mapped acceptance evidence.</x:v>
      </x:c>
      <x:c r="E407" s="12" t="str">
        <x:v>Capability 406 passes when inputs, library snapshot/version, formulas/rules, units, output values, rounding, scenario behavior, overrides, audit lineage and mapped tests are reproducible.</x:v>
      </x:c>
      <x:c r="F407" s="12" t="str">
        <x:v>v1.0.0</x:v>
      </x:c>
      <x:c r="G407" s="12" t="str">
        <x:v>Implementation-ready</x:v>
      </x:c>
    </x:row>
    <x:row r="408">
      <x:c r="A408" s="12" t="str">
        <x:v>P26-REQ-407</x:v>
      </x:c>
      <x:c r="B408" s="12" t="str">
        <x:v>Fuel Consumption</x:v>
      </x:c>
      <x:c r="C408" s="12" t="str">
        <x:v>Must</x:v>
      </x:c>
      <x:c r="D408" s="12" t="str">
        <x:v>GrounUp shall implement governed fuel consumption execution capability 407 using versioned Phase 25 library data, explicit quantity/production assumptions, deterministic calculation lineage, tenant security and mapped acceptance evidence.</x:v>
      </x:c>
      <x:c r="E408" s="12" t="str">
        <x:v>Capability 407 passes when inputs, library snapshot/version, formulas/rules, units, output values, rounding, scenario behavior, overrides, audit lineage and mapped tests are reproducible.</x:v>
      </x:c>
      <x:c r="F408" s="12" t="str">
        <x:v>v1.0.0</x:v>
      </x:c>
      <x:c r="G408" s="12" t="str">
        <x:v>Implementation-ready</x:v>
      </x:c>
    </x:row>
    <x:row r="409">
      <x:c r="A409" s="12" t="str">
        <x:v>P26-REQ-408</x:v>
      </x:c>
      <x:c r="B409" s="12" t="str">
        <x:v>Truck Selection</x:v>
      </x:c>
      <x:c r="C409" s="12" t="str">
        <x:v>Must</x:v>
      </x:c>
      <x:c r="D409" s="12" t="str">
        <x:v>GrounUp shall implement governed truck selection execution capability 408 using versioned Phase 25 library data, explicit quantity/production assumptions, deterministic calculation lineage, tenant security and mapped acceptance evidence.</x:v>
      </x:c>
      <x:c r="E409" s="12" t="str">
        <x:v>Capability 408 passes when inputs, library snapshot/version, formulas/rules, units, output values, rounding, scenario behavior, overrides, audit lineage and mapped tests are reproducible.</x:v>
      </x:c>
      <x:c r="F409" s="12" t="str">
        <x:v>v1.0.0</x:v>
      </x:c>
      <x:c r="G409" s="12" t="str">
        <x:v>Implementation-ready</x:v>
      </x:c>
    </x:row>
    <x:row r="410">
      <x:c r="A410" s="12" t="str">
        <x:v>P26-REQ-409</x:v>
      </x:c>
      <x:c r="B410" s="12" t="str">
        <x:v>Truck Cycle Calculation</x:v>
      </x:c>
      <x:c r="C410" s="12" t="str">
        <x:v>Must</x:v>
      </x:c>
      <x:c r="D410" s="12" t="str">
        <x:v>GrounUp shall implement governed truck cycle calculation execution capability 409 using versioned Phase 25 library data, explicit quantity/production assumptions, deterministic calculation lineage, tenant security and mapped acceptance evidence.</x:v>
      </x:c>
      <x:c r="E410" s="12" t="str">
        <x:v>Capability 409 passes when inputs, library snapshot/version, formulas/rules, units, output values, rounding, scenario behavior, overrides, audit lineage and mapped tests are reproducible.</x:v>
      </x:c>
      <x:c r="F410" s="12" t="str">
        <x:v>v1.0.0</x:v>
      </x:c>
      <x:c r="G410" s="12" t="str">
        <x:v>Implementation-ready</x:v>
      </x:c>
    </x:row>
    <x:row r="411">
      <x:c r="A411" s="12" t="str">
        <x:v>P26-REQ-410</x:v>
      </x:c>
      <x:c r="B411" s="12" t="str">
        <x:v>Truck Count</x:v>
      </x:c>
      <x:c r="C411" s="12" t="str">
        <x:v>Must</x:v>
      </x:c>
      <x:c r="D411" s="12" t="str">
        <x:v>GrounUp shall implement governed truck count execution capability 410 using versioned Phase 25 library data, explicit quantity/production assumptions, deterministic calculation lineage, tenant security and mapped acceptance evidence.</x:v>
      </x:c>
      <x:c r="E411" s="12" t="str">
        <x:v>Capability 410 passes when inputs, library snapshot/version, formulas/rules, units, output values, rounding, scenario behavior, overrides, audit lineage and mapped tests are reproducible.</x:v>
      </x:c>
      <x:c r="F411" s="12" t="str">
        <x:v>v1.0.0</x:v>
      </x:c>
      <x:c r="G411" s="12" t="str">
        <x:v>Implementation-ready</x:v>
      </x:c>
    </x:row>
    <x:row r="412">
      <x:c r="A412" s="12" t="str">
        <x:v>P26-REQ-411</x:v>
      </x:c>
      <x:c r="B412" s="12" t="str">
        <x:v>Haul Distance</x:v>
      </x:c>
      <x:c r="C412" s="12" t="str">
        <x:v>Should</x:v>
      </x:c>
      <x:c r="D412" s="12" t="str">
        <x:v>GrounUp shall implement governed haul distance execution capability 411 using versioned Phase 25 library data, explicit quantity/production assumptions, deterministic calculation lineage, tenant security and mapped acceptance evidence.</x:v>
      </x:c>
      <x:c r="E412" s="12" t="str">
        <x:v>Capability 411 passes when inputs, library snapshot/version, formulas/rules, units, output values, rounding, scenario behavior, overrides, audit lineage and mapped tests are reproducible.</x:v>
      </x:c>
      <x:c r="F412" s="12" t="str">
        <x:v>v1.0.0</x:v>
      </x:c>
      <x:c r="G412" s="12" t="str">
        <x:v>Implementation-ready</x:v>
      </x:c>
    </x:row>
    <x:row r="413">
      <x:c r="A413" s="12" t="str">
        <x:v>P26-REQ-412</x:v>
      </x:c>
      <x:c r="B413" s="12" t="str">
        <x:v>Disposal Cost</x:v>
      </x:c>
      <x:c r="C413" s="12" t="str">
        <x:v>Should</x:v>
      </x:c>
      <x:c r="D413" s="12" t="str">
        <x:v>GrounUp shall implement governed disposal cost execution capability 412 using versioned Phase 25 library data, explicit quantity/production assumptions, deterministic calculation lineage, tenant security and mapped acceptance evidence.</x:v>
      </x:c>
      <x:c r="E413" s="12" t="str">
        <x:v>Capability 412 passes when inputs, library snapshot/version, formulas/rules, units, output values, rounding, scenario behavior, overrides, audit lineage and mapped tests are reproducible.</x:v>
      </x:c>
      <x:c r="F413" s="12" t="str">
        <x:v>v1.0.0</x:v>
      </x:c>
      <x:c r="G413" s="12" t="str">
        <x:v>Implementation-ready</x:v>
      </x:c>
    </x:row>
    <x:row r="414">
      <x:c r="A414" s="12" t="str">
        <x:v>P26-REQ-413</x:v>
      </x:c>
      <x:c r="B414" s="12" t="str">
        <x:v>Material Cost</x:v>
      </x:c>
      <x:c r="C414" s="12" t="str">
        <x:v>Should</x:v>
      </x:c>
      <x:c r="D414" s="12" t="str">
        <x:v>GrounUp shall implement governed material cost execution capability 413 using versioned Phase 25 library data, explicit quantity/production assumptions, deterministic calculation lineage, tenant security and mapped acceptance evidence.</x:v>
      </x:c>
      <x:c r="E414" s="12" t="str">
        <x:v>Capability 413 passes when inputs, library snapshot/version, formulas/rules, units, output values, rounding, scenario behavior, overrides, audit lineage and mapped tests are reproducible.</x:v>
      </x:c>
      <x:c r="F414" s="12" t="str">
        <x:v>v1.0.0</x:v>
      </x:c>
      <x:c r="G414" s="12" t="str">
        <x:v>Implementation-ready</x:v>
      </x:c>
    </x:row>
    <x:row r="415">
      <x:c r="A415" s="12" t="str">
        <x:v>P26-REQ-414</x:v>
      </x:c>
      <x:c r="B415" s="12" t="str">
        <x:v>Material Waste</x:v>
      </x:c>
      <x:c r="C415" s="12" t="str">
        <x:v>Should</x:v>
      </x:c>
      <x:c r="D415" s="12" t="str">
        <x:v>GrounUp shall implement governed material waste execution capability 414 using versioned Phase 25 library data, explicit quantity/production assumptions, deterministic calculation lineage, tenant security and mapped acceptance evidence.</x:v>
      </x:c>
      <x:c r="E415" s="12" t="str">
        <x:v>Capability 414 passes when inputs, library snapshot/version, formulas/rules, units, output values, rounding, scenario behavior, overrides, audit lineage and mapped tests are reproducible.</x:v>
      </x:c>
      <x:c r="F415" s="12" t="str">
        <x:v>v1.0.0</x:v>
      </x:c>
      <x:c r="G415" s="12" t="str">
        <x:v>Implementation-ready</x:v>
      </x:c>
    </x:row>
    <x:row r="416">
      <x:c r="A416" s="12" t="str">
        <x:v>P26-REQ-415</x:v>
      </x:c>
      <x:c r="B416" s="12" t="str">
        <x:v>Subcontract Cost</x:v>
      </x:c>
      <x:c r="C416" s="12" t="str">
        <x:v>Should</x:v>
      </x:c>
      <x:c r="D416" s="12" t="str">
        <x:v>GrounUp shall implement governed subcontract cost execution capability 415 using versioned Phase 25 library data, explicit quantity/production assumptions, deterministic calculation lineage, tenant security and mapped acceptance evidence.</x:v>
      </x:c>
      <x:c r="E416" s="12" t="str">
        <x:v>Capability 415 passes when inputs, library snapshot/version, formulas/rules, units, output values, rounding, scenario behavior, overrides, audit lineage and mapped tests are reproducible.</x:v>
      </x:c>
      <x:c r="F416" s="12" t="str">
        <x:v>v1.0.0</x:v>
      </x:c>
      <x:c r="G416" s="12" t="str">
        <x:v>Implementation-ready</x:v>
      </x:c>
    </x:row>
    <x:row r="417">
      <x:c r="A417" s="12" t="str">
        <x:v>P26-REQ-416</x:v>
      </x:c>
      <x:c r="B417" s="12" t="str">
        <x:v>Production Rate</x:v>
      </x:c>
      <x:c r="C417" s="12" t="str">
        <x:v>Should</x:v>
      </x:c>
      <x:c r="D417" s="12" t="str">
        <x:v>GrounUp shall implement governed production rate execution capability 416 using versioned Phase 25 library data, explicit quantity/production assumptions, deterministic calculation lineage, tenant security and mapped acceptance evidence.</x:v>
      </x:c>
      <x:c r="E417" s="12" t="str">
        <x:v>Capability 416 passes when inputs, library snapshot/version, formulas/rules, units, output values, rounding, scenario behavior, overrides, audit lineage and mapped tests are reproducible.</x:v>
      </x:c>
      <x:c r="F417" s="12" t="str">
        <x:v>v1.0.0</x:v>
      </x:c>
      <x:c r="G417" s="12" t="str">
        <x:v>Implementation-ready</x:v>
      </x:c>
    </x:row>
    <x:row r="418">
      <x:c r="A418" s="12" t="str">
        <x:v>P26-REQ-417</x:v>
      </x:c>
      <x:c r="B418" s="12" t="str">
        <x:v>Production Modifiers</x:v>
      </x:c>
      <x:c r="C418" s="12" t="str">
        <x:v>Should</x:v>
      </x:c>
      <x:c r="D418" s="12" t="str">
        <x:v>GrounUp shall implement governed production modifiers execution capability 417 using versioned Phase 25 library data, explicit quantity/production assumptions, deterministic calculation lineage, tenant security and mapped acceptance evidence.</x:v>
      </x:c>
      <x:c r="E418" s="12" t="str">
        <x:v>Capability 417 passes when inputs, library snapshot/version, formulas/rules, units, output values, rounding, scenario behavior, overrides, audit lineage and mapped tests are reproducible.</x:v>
      </x:c>
      <x:c r="F418" s="12" t="str">
        <x:v>v1.0.0</x:v>
      </x:c>
      <x:c r="G418" s="12" t="str">
        <x:v>Implementation-ready</x:v>
      </x:c>
    </x:row>
    <x:row r="419">
      <x:c r="A419" s="12" t="str">
        <x:v>P26-REQ-418</x:v>
      </x:c>
      <x:c r="B419" s="12" t="str">
        <x:v>Duration Calculation</x:v>
      </x:c>
      <x:c r="C419" s="12" t="str">
        <x:v>Should</x:v>
      </x:c>
      <x:c r="D419" s="12" t="str">
        <x:v>GrounUp shall implement governed duration calculation execution capability 418 using versioned Phase 25 library data, explicit quantity/production assumptions, deterministic calculation lineage, tenant security and mapped acceptance evidence.</x:v>
      </x:c>
      <x:c r="E419" s="12" t="str">
        <x:v>Capability 418 passes when inputs, library snapshot/version, formulas/rules, units, output values, rounding, scenario behavior, overrides, audit lineage and mapped tests are reproducible.</x:v>
      </x:c>
      <x:c r="F419" s="12" t="str">
        <x:v>v1.0.0</x:v>
      </x:c>
      <x:c r="G419" s="12" t="str">
        <x:v>Implementation-ready</x:v>
      </x:c>
    </x:row>
    <x:row r="420">
      <x:c r="A420" s="12" t="str">
        <x:v>P26-REQ-419</x:v>
      </x:c>
      <x:c r="B420" s="12" t="str">
        <x:v>Work Hours &amp; Shifts</x:v>
      </x:c>
      <x:c r="C420" s="12" t="str">
        <x:v>Should</x:v>
      </x:c>
      <x:c r="D420" s="12" t="str">
        <x:v>GrounUp shall implement governed work hours &amp; shifts execution capability 419 using versioned Phase 25 library data, explicit quantity/production assumptions, deterministic calculation lineage, tenant security and mapped acceptance evidence.</x:v>
      </x:c>
      <x:c r="E420" s="12" t="str">
        <x:v>Capability 419 passes when inputs, library snapshot/version, formulas/rules, units, output values, rounding, scenario behavior, overrides, audit lineage and mapped tests are reproducible.</x:v>
      </x:c>
      <x:c r="F420" s="12" t="str">
        <x:v>v1.0.0</x:v>
      </x:c>
      <x:c r="G420" s="12" t="str">
        <x:v>Implementation-ready</x:v>
      </x:c>
    </x:row>
    <x:row r="421">
      <x:c r="A421" s="12" t="str">
        <x:v>P26-REQ-420</x:v>
      </x:c>
      <x:c r="B421" s="12" t="str">
        <x:v>Mobilization</x:v>
      </x:c>
      <x:c r="C421" s="12" t="str">
        <x:v>Should</x:v>
      </x:c>
      <x:c r="D421" s="12" t="str">
        <x:v>GrounUp shall implement governed mobilization execution capability 420 using versioned Phase 25 library data, explicit quantity/production assumptions, deterministic calculation lineage, tenant security and mapped acceptance evidence.</x:v>
      </x:c>
      <x:c r="E421" s="12" t="str">
        <x:v>Capability 420 passes when inputs, library snapshot/version, formulas/rules, units, output values, rounding, scenario behavior, overrides, audit lineage and mapped tests are reproducible.</x:v>
      </x:c>
      <x:c r="F421" s="12" t="str">
        <x:v>v1.0.0</x:v>
      </x:c>
      <x:c r="G421" s="12" t="str">
        <x:v>Implementation-ready</x:v>
      </x:c>
    </x:row>
    <x:row r="422">
      <x:c r="A422" s="12" t="str">
        <x:v>P26-REQ-421</x:v>
      </x:c>
      <x:c r="B422" s="12" t="str">
        <x:v>Demobilization</x:v>
      </x:c>
      <x:c r="C422" s="12" t="str">
        <x:v>Should</x:v>
      </x:c>
      <x:c r="D422" s="12" t="str">
        <x:v>GrounUp shall implement governed demobilization execution capability 421 using versioned Phase 25 library data, explicit quantity/production assumptions, deterministic calculation lineage, tenant security and mapped acceptance evidence.</x:v>
      </x:c>
      <x:c r="E422" s="12" t="str">
        <x:v>Capability 421 passes when inputs, library snapshot/version, formulas/rules, units, output values, rounding, scenario behavior, overrides, audit lineage and mapped tests are reproducible.</x:v>
      </x:c>
      <x:c r="F422" s="12" t="str">
        <x:v>v1.0.0</x:v>
      </x:c>
      <x:c r="G422" s="12" t="str">
        <x:v>Implementation-ready</x:v>
      </x:c>
    </x:row>
    <x:row r="423">
      <x:c r="A423" s="12" t="str">
        <x:v>P26-REQ-422</x:v>
      </x:c>
      <x:c r="B423" s="12" t="str">
        <x:v>Indirect Costs</x:v>
      </x:c>
      <x:c r="C423" s="12" t="str">
        <x:v>Should</x:v>
      </x:c>
      <x:c r="D423" s="12" t="str">
        <x:v>GrounUp shall implement governed indirect costs execution capability 422 using versioned Phase 25 library data, explicit quantity/production assumptions, deterministic calculation lineage, tenant security and mapped acceptance evidence.</x:v>
      </x:c>
      <x:c r="E423" s="12" t="str">
        <x:v>Capability 422 passes when inputs, library snapshot/version, formulas/rules, units, output values, rounding, scenario behavior, overrides, audit lineage and mapped tests are reproducible.</x:v>
      </x:c>
      <x:c r="F423" s="12" t="str">
        <x:v>v1.0.0</x:v>
      </x:c>
      <x:c r="G423" s="12" t="str">
        <x:v>Implementation-ready</x:v>
      </x:c>
    </x:row>
    <x:row r="424">
      <x:c r="A424" s="12" t="str">
        <x:v>P26-REQ-423</x:v>
      </x:c>
      <x:c r="B424" s="12" t="str">
        <x:v>Contingency</x:v>
      </x:c>
      <x:c r="C424" s="12" t="str">
        <x:v>Should</x:v>
      </x:c>
      <x:c r="D424" s="12" t="str">
        <x:v>GrounUp shall implement governed contingency execution capability 423 using versioned Phase 25 library data, explicit quantity/production assumptions, deterministic calculation lineage, tenant security and mapped acceptance evidence.</x:v>
      </x:c>
      <x:c r="E424" s="12" t="str">
        <x:v>Capability 423 passes when inputs, library snapshot/version, formulas/rules, units, output values, rounding, scenario behavior, overrides, audit lineage and mapped tests are reproducible.</x:v>
      </x:c>
      <x:c r="F424" s="12" t="str">
        <x:v>v1.0.0</x:v>
      </x:c>
      <x:c r="G424" s="12" t="str">
        <x:v>Implementation-ready</x:v>
      </x:c>
    </x:row>
    <x:row r="425">
      <x:c r="A425" s="12" t="str">
        <x:v>P26-REQ-424</x:v>
      </x:c>
      <x:c r="B425" s="12" t="str">
        <x:v>Markup</x:v>
      </x:c>
      <x:c r="C425" s="12" t="str">
        <x:v>Should</x:v>
      </x:c>
      <x:c r="D425" s="12" t="str">
        <x:v>GrounUp shall implement governed markup execution capability 424 using versioned Phase 25 library data, explicit quantity/production assumptions, deterministic calculation lineage, tenant security and mapped acceptance evidence.</x:v>
      </x:c>
      <x:c r="E425" s="12" t="str">
        <x:v>Capability 424 passes when inputs, library snapshot/version, formulas/rules, units, output values, rounding, scenario behavior, overrides, audit lineage and mapped tests are reproducible.</x:v>
      </x:c>
      <x:c r="F425" s="12" t="str">
        <x:v>v1.0.0</x:v>
      </x:c>
      <x:c r="G425" s="12" t="str">
        <x:v>Implementation-ready</x:v>
      </x:c>
    </x:row>
    <x:row r="426">
      <x:c r="A426" s="12" t="str">
        <x:v>P26-REQ-425</x:v>
      </x:c>
      <x:c r="B426" s="12" t="str">
        <x:v>Overhead &amp; Profit</x:v>
      </x:c>
      <x:c r="C426" s="12" t="str">
        <x:v>Should</x:v>
      </x:c>
      <x:c r="D426" s="12" t="str">
        <x:v>GrounUp shall implement governed overhead &amp; profit execution capability 425 using versioned Phase 25 library data, explicit quantity/production assumptions, deterministic calculation lineage, tenant security and mapped acceptance evidence.</x:v>
      </x:c>
      <x:c r="E426" s="12" t="str">
        <x:v>Capability 425 passes when inputs, library snapshot/version, formulas/rules, units, output values, rounding, scenario behavior, overrides, audit lineage and mapped tests are reproducible.</x:v>
      </x:c>
      <x:c r="F426" s="12" t="str">
        <x:v>v1.0.0</x:v>
      </x:c>
      <x:c r="G426" s="12" t="str">
        <x:v>Implementation-ready</x:v>
      </x:c>
    </x:row>
    <x:row r="427">
      <x:c r="A427" s="12" t="str">
        <x:v>P26-REQ-426</x:v>
      </x:c>
      <x:c r="B427" s="12" t="str">
        <x:v>Tax &amp; Bond</x:v>
      </x:c>
      <x:c r="C427" s="12" t="str">
        <x:v>Should</x:v>
      </x:c>
      <x:c r="D427" s="12" t="str">
        <x:v>GrounUp shall implement governed tax &amp; bond execution capability 426 using versioned Phase 25 library data, explicit quantity/production assumptions, deterministic calculation lineage, tenant security and mapped acceptance evidence.</x:v>
      </x:c>
      <x:c r="E427" s="12" t="str">
        <x:v>Capability 426 passes when inputs, library snapshot/version, formulas/rules, units, output values, rounding, scenario behavior, overrides, audit lineage and mapped tests are reproducible.</x:v>
      </x:c>
      <x:c r="F427" s="12" t="str">
        <x:v>v1.0.0</x:v>
      </x:c>
      <x:c r="G427" s="12" t="str">
        <x:v>Implementation-ready</x:v>
      </x:c>
    </x:row>
    <x:row r="428">
      <x:c r="A428" s="12" t="str">
        <x:v>P26-REQ-427</x:v>
      </x:c>
      <x:c r="B428" s="12" t="str">
        <x:v>Unit Price</x:v>
      </x:c>
      <x:c r="C428" s="12" t="str">
        <x:v>Should</x:v>
      </x:c>
      <x:c r="D428" s="12" t="str">
        <x:v>GrounUp shall implement governed unit price execution capability 427 using versioned Phase 25 library data, explicit quantity/production assumptions, deterministic calculation lineage, tenant security and mapped acceptance evidence.</x:v>
      </x:c>
      <x:c r="E428" s="12" t="str">
        <x:v>Capability 427 passes when inputs, library snapshot/version, formulas/rules, units, output values, rounding, scenario behavior, overrides, audit lineage and mapped tests are reproducible.</x:v>
      </x:c>
      <x:c r="F428" s="12" t="str">
        <x:v>v1.0.0</x:v>
      </x:c>
      <x:c r="G428" s="12" t="str">
        <x:v>Implementation-ready</x:v>
      </x:c>
    </x:row>
    <x:row r="429">
      <x:c r="A429" s="12" t="str">
        <x:v>P26-REQ-428</x:v>
      </x:c>
      <x:c r="B429" s="12" t="str">
        <x:v>Bid Price</x:v>
      </x:c>
      <x:c r="C429" s="12" t="str">
        <x:v>Should</x:v>
      </x:c>
      <x:c r="D429" s="12" t="str">
        <x:v>GrounUp shall implement governed bid price execution capability 428 using versioned Phase 25 library data, explicit quantity/production assumptions, deterministic calculation lineage, tenant security and mapped acceptance evidence.</x:v>
      </x:c>
      <x:c r="E429" s="12" t="str">
        <x:v>Capability 428 passes when inputs, library snapshot/version, formulas/rules, units, output values, rounding, scenario behavior, overrides, audit lineage and mapped tests are reproducible.</x:v>
      </x:c>
      <x:c r="F429" s="12" t="str">
        <x:v>v1.0.0</x:v>
      </x:c>
      <x:c r="G429" s="12" t="str">
        <x:v>Implementation-ready</x:v>
      </x:c>
    </x:row>
    <x:row r="430">
      <x:c r="A430" s="12" t="str">
        <x:v>P26-REQ-429</x:v>
      </x:c>
      <x:c r="B430" s="12" t="str">
        <x:v>Low/High Range</x:v>
      </x:c>
      <x:c r="C430" s="12" t="str">
        <x:v>Should</x:v>
      </x:c>
      <x:c r="D430" s="12" t="str">
        <x:v>GrounUp shall implement governed low/high range execution capability 429 using versioned Phase 25 library data, explicit quantity/production assumptions, deterministic calculation lineage, tenant security and mapped acceptance evidence.</x:v>
      </x:c>
      <x:c r="E430" s="12" t="str">
        <x:v>Capability 429 passes when inputs, library snapshot/version, formulas/rules, units, output values, rounding, scenario behavior, overrides, audit lineage and mapped tests are reproducible.</x:v>
      </x:c>
      <x:c r="F430" s="12" t="str">
        <x:v>v1.0.0</x:v>
      </x:c>
      <x:c r="G430" s="12" t="str">
        <x:v>Implementation-ready</x:v>
      </x:c>
    </x:row>
    <x:row r="431">
      <x:c r="A431" s="12" t="str">
        <x:v>P26-REQ-430</x:v>
      </x:c>
      <x:c r="B431" s="12" t="str">
        <x:v>Scenario Comparison</x:v>
      </x:c>
      <x:c r="C431" s="12" t="str">
        <x:v>Should</x:v>
      </x:c>
      <x:c r="D431" s="12" t="str">
        <x:v>GrounUp shall implement governed scenario comparison execution capability 430 using versioned Phase 25 library data, explicit quantity/production assumptions, deterministic calculation lineage, tenant security and mapped acceptance evidence.</x:v>
      </x:c>
      <x:c r="E431" s="12" t="str">
        <x:v>Capability 430 passes when inputs, library snapshot/version, formulas/rules, units, output values, rounding, scenario behavior, overrides, audit lineage and mapped tests are reproducible.</x:v>
      </x:c>
      <x:c r="F431" s="12" t="str">
        <x:v>v1.0.0</x:v>
      </x:c>
      <x:c r="G431" s="12" t="str">
        <x:v>Implementation-ready</x:v>
      </x:c>
    </x:row>
    <x:row r="432">
      <x:c r="A432" s="12" t="str">
        <x:v>P26-REQ-431</x:v>
      </x:c>
      <x:c r="B432" s="12" t="str">
        <x:v>Estimate Confidence</x:v>
      </x:c>
      <x:c r="C432" s="12" t="str">
        <x:v>Should</x:v>
      </x:c>
      <x:c r="D432" s="12" t="str">
        <x:v>GrounUp shall implement governed estimate confidence execution capability 431 using versioned Phase 25 library data, explicit quantity/production assumptions, deterministic calculation lineage, tenant security and mapped acceptance evidence.</x:v>
      </x:c>
      <x:c r="E432" s="12" t="str">
        <x:v>Capability 431 passes when inputs, library snapshot/version, formulas/rules, units, output values, rounding, scenario behavior, overrides, audit lineage and mapped tests are reproducible.</x:v>
      </x:c>
      <x:c r="F432" s="12" t="str">
        <x:v>v1.0.0</x:v>
      </x:c>
      <x:c r="G432" s="12" t="str">
        <x:v>Implementation-ready</x:v>
      </x:c>
    </x:row>
    <x:row r="433">
      <x:c r="A433" s="12" t="str">
        <x:v>P26-REQ-432</x:v>
      </x:c>
      <x:c r="B433" s="12" t="str">
        <x:v>Regional Pricing</x:v>
      </x:c>
      <x:c r="C433" s="12" t="str">
        <x:v>Should</x:v>
      </x:c>
      <x:c r="D433" s="12" t="str">
        <x:v>GrounUp shall implement governed regional pricing execution capability 432 using versioned Phase 25 library data, explicit quantity/production assumptions, deterministic calculation lineage, tenant security and mapped acceptance evidence.</x:v>
      </x:c>
      <x:c r="E433" s="12" t="str">
        <x:v>Capability 432 passes when inputs, library snapshot/version, formulas/rules, units, output values, rounding, scenario behavior, overrides, audit lineage and mapped tests are reproducible.</x:v>
      </x:c>
      <x:c r="F433" s="12" t="str">
        <x:v>v1.0.0</x:v>
      </x:c>
      <x:c r="G433" s="12" t="str">
        <x:v>Implementation-ready</x:v>
      </x:c>
    </x:row>
    <x:row r="434">
      <x:c r="A434" s="12" t="str">
        <x:v>P26-REQ-433</x:v>
      </x:c>
      <x:c r="B434" s="12" t="str">
        <x:v>Vendor Quote Override</x:v>
      </x:c>
      <x:c r="C434" s="12" t="str">
        <x:v>Should</x:v>
      </x:c>
      <x:c r="D434" s="12" t="str">
        <x:v>GrounUp shall implement governed vendor quote override execution capability 433 using versioned Phase 25 library data, explicit quantity/production assumptions, deterministic calculation lineage, tenant security and mapped acceptance evidence.</x:v>
      </x:c>
      <x:c r="E434" s="12" t="str">
        <x:v>Capability 433 passes when inputs, library snapshot/version, formulas/rules, units, output values, rounding, scenario behavior, overrides, audit lineage and mapped tests are reproducible.</x:v>
      </x:c>
      <x:c r="F434" s="12" t="str">
        <x:v>v1.0.0</x:v>
      </x:c>
      <x:c r="G434" s="12" t="str">
        <x:v>Implementation-ready</x:v>
      </x:c>
    </x:row>
    <x:row r="435">
      <x:c r="A435" s="12" t="str">
        <x:v>P26-REQ-434</x:v>
      </x:c>
      <x:c r="B435" s="12" t="str">
        <x:v>Snapshot Reproducibility</x:v>
      </x:c>
      <x:c r="C435" s="12" t="str">
        <x:v>Should</x:v>
      </x:c>
      <x:c r="D435" s="12" t="str">
        <x:v>GrounUp shall implement governed snapshot reproducibility execution capability 434 using versioned Phase 25 library data, explicit quantity/production assumptions, deterministic calculation lineage, tenant security and mapped acceptance evidence.</x:v>
      </x:c>
      <x:c r="E435" s="12" t="str">
        <x:v>Capability 434 passes when inputs, library snapshot/version, formulas/rules, units, output values, rounding, scenario behavior, overrides, audit lineage and mapped tests are reproducible.</x:v>
      </x:c>
      <x:c r="F435" s="12" t="str">
        <x:v>v1.0.0</x:v>
      </x:c>
      <x:c r="G435" s="12" t="str">
        <x:v>Implementation-ready</x:v>
      </x:c>
    </x:row>
    <x:row r="436">
      <x:c r="A436" s="12" t="str">
        <x:v>P26-REQ-435</x:v>
      </x:c>
      <x:c r="B436" s="12" t="str">
        <x:v>Service Catalog Writeback</x:v>
      </x:c>
      <x:c r="C436" s="12" t="str">
        <x:v>Should</x:v>
      </x:c>
      <x:c r="D436" s="12" t="str">
        <x:v>GrounUp shall implement governed service catalog writeback execution capability 435 using versioned Phase 25 library data, explicit quantity/production assumptions, deterministic calculation lineage, tenant security and mapped acceptance evidence.</x:v>
      </x:c>
      <x:c r="E436" s="12" t="str">
        <x:v>Capability 435 passes when inputs, library snapshot/version, formulas/rules, units, output values, rounding, scenario behavior, overrides, audit lineage and mapped tests are reproducible.</x:v>
      </x:c>
      <x:c r="F436" s="12" t="str">
        <x:v>v1.0.0</x:v>
      </x:c>
      <x:c r="G436" s="12" t="str">
        <x:v>Implementation-ready</x:v>
      </x:c>
    </x:row>
    <x:row r="437">
      <x:c r="A437" s="12" t="str">
        <x:v>P26-REQ-436</x:v>
      </x:c>
      <x:c r="B437" s="12" t="str">
        <x:v>AI Estimate Assist</x:v>
      </x:c>
      <x:c r="C437" s="12" t="str">
        <x:v>Should</x:v>
      </x:c>
      <x:c r="D437" s="12" t="str">
        <x:v>GrounUp shall implement governed ai estimate assist execution capability 436 using versioned Phase 25 library data, explicit quantity/production assumptions, deterministic calculation lineage, tenant security and mapped acceptance evidence.</x:v>
      </x:c>
      <x:c r="E437" s="12" t="str">
        <x:v>Capability 436 passes when inputs, library snapshot/version, formulas/rules, units, output values, rounding, scenario behavior, overrides, audit lineage and mapped tests are reproducible.</x:v>
      </x:c>
      <x:c r="F437" s="12" t="str">
        <x:v>v1.0.0</x:v>
      </x:c>
      <x:c r="G437" s="12" t="str">
        <x:v>Implementation-ready</x:v>
      </x:c>
    </x:row>
    <x:row r="438">
      <x:c r="A438" s="12" t="str">
        <x:v>P26-REQ-437</x:v>
      </x:c>
      <x:c r="B438" s="12" t="str">
        <x:v>Estimate Review &amp; Approval</x:v>
      </x:c>
      <x:c r="C438" s="12" t="str">
        <x:v>Should</x:v>
      </x:c>
      <x:c r="D438" s="12" t="str">
        <x:v>GrounUp shall implement governed estimate review &amp; approval execution capability 437 using versioned Phase 25 library data, explicit quantity/production assumptions, deterministic calculation lineage, tenant security and mapped acceptance evidence.</x:v>
      </x:c>
      <x:c r="E438" s="12" t="str">
        <x:v>Capability 437 passes when inputs, library snapshot/version, formulas/rules, units, output values, rounding, scenario behavior, overrides, audit lineage and mapped tests are reproducible.</x:v>
      </x:c>
      <x:c r="F438" s="12" t="str">
        <x:v>v1.0.0</x:v>
      </x:c>
      <x:c r="G438" s="12" t="str">
        <x:v>Implementation-ready</x:v>
      </x:c>
    </x:row>
    <x:row r="439">
      <x:c r="A439" s="12" t="str">
        <x:v>P26-REQ-438</x:v>
      </x:c>
      <x:c r="B439" s="12" t="str">
        <x:v>Estimate Export</x:v>
      </x:c>
      <x:c r="C439" s="12" t="str">
        <x:v>Should</x:v>
      </x:c>
      <x:c r="D439" s="12" t="str">
        <x:v>GrounUp shall implement governed estimate export execution capability 438 using versioned Phase 25 library data, explicit quantity/production assumptions, deterministic calculation lineage, tenant security and mapped acceptance evidence.</x:v>
      </x:c>
      <x:c r="E439" s="12" t="str">
        <x:v>Capability 438 passes when inputs, library snapshot/version, formulas/rules, units, output values, rounding, scenario behavior, overrides, audit lineage and mapped tests are reproducible.</x:v>
      </x:c>
      <x:c r="F439" s="12" t="str">
        <x:v>v1.0.0</x:v>
      </x:c>
      <x:c r="G439" s="12" t="str">
        <x:v>Implementation-ready</x:v>
      </x:c>
    </x:row>
    <x:row r="440">
      <x:c r="A440" s="12" t="str">
        <x:v>P26-REQ-439</x:v>
      </x:c>
      <x:c r="B440" s="12" t="str">
        <x:v>Proposal Handoff</x:v>
      </x:c>
      <x:c r="C440" s="12" t="str">
        <x:v>Should</x:v>
      </x:c>
      <x:c r="D440" s="12" t="str">
        <x:v>GrounUp shall implement governed proposal handoff execution capability 439 using versioned Phase 25 library data, explicit quantity/production assumptions, deterministic calculation lineage, tenant security and mapped acceptance evidence.</x:v>
      </x:c>
      <x:c r="E440" s="12" t="str">
        <x:v>Capability 439 passes when inputs, library snapshot/version, formulas/rules, units, output values, rounding, scenario behavior, overrides, audit lineage and mapped tests are reproducible.</x:v>
      </x:c>
      <x:c r="F440" s="12" t="str">
        <x:v>v1.0.0</x:v>
      </x:c>
      <x:c r="G440" s="12" t="str">
        <x:v>Implementation-ready</x:v>
      </x:c>
    </x:row>
    <x:row r="441">
      <x:c r="A441" s="12" t="str">
        <x:v>P26-REQ-440</x:v>
      </x:c>
      <x:c r="B441" s="12" t="str">
        <x:v>Job Cost Baseline</x:v>
      </x:c>
      <x:c r="C441" s="12" t="str">
        <x:v>Should</x:v>
      </x:c>
      <x:c r="D441" s="12" t="str">
        <x:v>GrounUp shall implement governed job cost baseline execution capability 440 using versioned Phase 25 library data, explicit quantity/production assumptions, deterministic calculation lineage, tenant security and mapped acceptance evidence.</x:v>
      </x:c>
      <x:c r="E441" s="12" t="str">
        <x:v>Capability 440 passes when inputs, library snapshot/version, formulas/rules, units, output values, rounding, scenario behavior, overrides, audit lineage and mapped tests are reproducible.</x:v>
      </x:c>
      <x:c r="F441" s="12" t="str">
        <x:v>v1.0.0</x:v>
      </x:c>
      <x:c r="G441" s="12" t="str">
        <x:v>Implementation-ready</x:v>
      </x:c>
    </x:row>
    <x:row r="442">
      <x:c r="A442" s="12" t="str">
        <x:v>P26-REQ-441</x:v>
      </x:c>
      <x:c r="B442" s="12" t="str">
        <x:v>Audit &amp; Traceability</x:v>
      </x:c>
      <x:c r="C442" s="12" t="str">
        <x:v>Should</x:v>
      </x:c>
      <x:c r="D442" s="12" t="str">
        <x:v>GrounUp shall implement governed audit &amp; traceability execution capability 441 using versioned Phase 25 library data, explicit quantity/production assumptions, deterministic calculation lineage, tenant security and mapped acceptance evidence.</x:v>
      </x:c>
      <x:c r="E442" s="12" t="str">
        <x:v>Capability 441 passes when inputs, library snapshot/version, formulas/rules, units, output values, rounding, scenario behavior, overrides, audit lineage and mapped tests are reproducible.</x:v>
      </x:c>
      <x:c r="F442" s="12" t="str">
        <x:v>v1.0.0</x:v>
      </x:c>
      <x:c r="G442" s="12" t="str">
        <x:v>Implementation-ready</x:v>
      </x:c>
    </x:row>
    <x:row r="443">
      <x:c r="A443" s="12" t="str">
        <x:v>P26-REQ-442</x:v>
      </x:c>
      <x:c r="B443" s="12" t="str">
        <x:v>Estimate Lifecycle</x:v>
      </x:c>
      <x:c r="C443" s="12" t="str">
        <x:v>Should</x:v>
      </x:c>
      <x:c r="D443" s="12" t="str">
        <x:v>GrounUp shall implement governed estimate lifecycle execution capability 442 using versioned Phase 25 library data, explicit quantity/production assumptions, deterministic calculation lineage, tenant security and mapped acceptance evidence.</x:v>
      </x:c>
      <x:c r="E443" s="12" t="str">
        <x:v>Capability 442 passes when inputs, library snapshot/version, formulas/rules, units, output values, rounding, scenario behavior, overrides, audit lineage and mapped tests are reproducible.</x:v>
      </x:c>
      <x:c r="F443" s="12" t="str">
        <x:v>v1.0.0</x:v>
      </x:c>
      <x:c r="G443" s="12" t="str">
        <x:v>Implementation-ready</x:v>
      </x:c>
    </x:row>
    <x:row r="444">
      <x:c r="A444" s="12" t="str">
        <x:v>P26-REQ-443</x:v>
      </x:c>
      <x:c r="B444" s="12" t="str">
        <x:v>Estimate Versions</x:v>
      </x:c>
      <x:c r="C444" s="12" t="str">
        <x:v>Should</x:v>
      </x:c>
      <x:c r="D444" s="12" t="str">
        <x:v>GrounUp shall implement governed estimate versions execution capability 443 using versioned Phase 25 library data, explicit quantity/production assumptions, deterministic calculation lineage, tenant security and mapped acceptance evidence.</x:v>
      </x:c>
      <x:c r="E444" s="12" t="str">
        <x:v>Capability 443 passes when inputs, library snapshot/version, formulas/rules, units, output values, rounding, scenario behavior, overrides, audit lineage and mapped tests are reproducible.</x:v>
      </x:c>
      <x:c r="F444" s="12" t="str">
        <x:v>v1.0.0</x:v>
      </x:c>
      <x:c r="G444" s="12" t="str">
        <x:v>Implementation-ready</x:v>
      </x:c>
    </x:row>
    <x:row r="445">
      <x:c r="A445" s="12" t="str">
        <x:v>P26-REQ-444</x:v>
      </x:c>
      <x:c r="B445" s="12" t="str">
        <x:v>Estimate Templates</x:v>
      </x:c>
      <x:c r="C445" s="12" t="str">
        <x:v>Should</x:v>
      </x:c>
      <x:c r="D445" s="12" t="str">
        <x:v>GrounUp shall implement governed estimate templates execution capability 444 using versioned Phase 25 library data, explicit quantity/production assumptions, deterministic calculation lineage, tenant security and mapped acceptance evidence.</x:v>
      </x:c>
      <x:c r="E445" s="12" t="str">
        <x:v>Capability 444 passes when inputs, library snapshot/version, formulas/rules, units, output values, rounding, scenario behavior, overrides, audit lineage and mapped tests are reproducible.</x:v>
      </x:c>
      <x:c r="F445" s="12" t="str">
        <x:v>v1.0.0</x:v>
      </x:c>
      <x:c r="G445" s="12" t="str">
        <x:v>Implementation-ready</x:v>
      </x:c>
    </x:row>
    <x:row r="446">
      <x:c r="A446" s="12" t="str">
        <x:v>P26-REQ-445</x:v>
      </x:c>
      <x:c r="B446" s="12" t="str">
        <x:v>Service Selection</x:v>
      </x:c>
      <x:c r="C446" s="12" t="str">
        <x:v>Should</x:v>
      </x:c>
      <x:c r="D446" s="12" t="str">
        <x:v>GrounUp shall implement governed service selection execution capability 445 using versioned Phase 25 library data, explicit quantity/production assumptions, deterministic calculation lineage, tenant security and mapped acceptance evidence.</x:v>
      </x:c>
      <x:c r="E446" s="12" t="str">
        <x:v>Capability 445 passes when inputs, library snapshot/version, formulas/rules, units, output values, rounding, scenario behavior, overrides, audit lineage and mapped tests are reproducible.</x:v>
      </x:c>
      <x:c r="F446" s="12" t="str">
        <x:v>v1.0.0</x:v>
      </x:c>
      <x:c r="G446" s="12" t="str">
        <x:v>Implementation-ready</x:v>
      </x:c>
    </x:row>
    <x:row r="447">
      <x:c r="A447" s="12" t="str">
        <x:v>P26-REQ-446</x:v>
      </x:c>
      <x:c r="B447" s="12" t="str">
        <x:v>Assembly Expansion</x:v>
      </x:c>
      <x:c r="C447" s="12" t="str">
        <x:v>Should</x:v>
      </x:c>
      <x:c r="D447" s="12" t="str">
        <x:v>GrounUp shall implement governed assembly expansion execution capability 446 using versioned Phase 25 library data, explicit quantity/production assumptions, deterministic calculation lineage, tenant security and mapped acceptance evidence.</x:v>
      </x:c>
      <x:c r="E447" s="12" t="str">
        <x:v>Capability 446 passes when inputs, library snapshot/version, formulas/rules, units, output values, rounding, scenario behavior, overrides, audit lineage and mapped tests are reproducible.</x:v>
      </x:c>
      <x:c r="F447" s="12" t="str">
        <x:v>v1.0.0</x:v>
      </x:c>
      <x:c r="G447" s="12" t="str">
        <x:v>Implementation-ready</x:v>
      </x:c>
    </x:row>
    <x:row r="448">
      <x:c r="A448" s="12" t="str">
        <x:v>P26-REQ-447</x:v>
      </x:c>
      <x:c r="B448" s="12" t="str">
        <x:v>Quantity Input</x:v>
      </x:c>
      <x:c r="C448" s="12" t="str">
        <x:v>Should</x:v>
      </x:c>
      <x:c r="D448" s="12" t="str">
        <x:v>GrounUp shall implement governed quantity input execution capability 447 using versioned Phase 25 library data, explicit quantity/production assumptions, deterministic calculation lineage, tenant security and mapped acceptance evidence.</x:v>
      </x:c>
      <x:c r="E448" s="12" t="str">
        <x:v>Capability 447 passes when inputs, library snapshot/version, formulas/rules, units, output values, rounding, scenario behavior, overrides, audit lineage and mapped tests are reproducible.</x:v>
      </x:c>
      <x:c r="F448" s="12" t="str">
        <x:v>v1.0.0</x:v>
      </x:c>
      <x:c r="G448" s="12" t="str">
        <x:v>Implementation-ready</x:v>
      </x:c>
    </x:row>
    <x:row r="449">
      <x:c r="A449" s="12" t="str">
        <x:v>P26-REQ-448</x:v>
      </x:c>
      <x:c r="B449" s="12" t="str">
        <x:v>Quantity Takeoff Intake</x:v>
      </x:c>
      <x:c r="C449" s="12" t="str">
        <x:v>Should</x:v>
      </x:c>
      <x:c r="D449" s="12" t="str">
        <x:v>GrounUp shall implement governed quantity takeoff intake execution capability 448 using versioned Phase 25 library data, explicit quantity/production assumptions, deterministic calculation lineage, tenant security and mapped acceptance evidence.</x:v>
      </x:c>
      <x:c r="E449" s="12" t="str">
        <x:v>Capability 448 passes when inputs, library snapshot/version, formulas/rules, units, output values, rounding, scenario behavior, overrides, audit lineage and mapped tests are reproducible.</x:v>
      </x:c>
      <x:c r="F449" s="12" t="str">
        <x:v>v1.0.0</x:v>
      </x:c>
      <x:c r="G449" s="12" t="str">
        <x:v>Implementation-ready</x:v>
      </x:c>
    </x:row>
    <x:row r="450">
      <x:c r="A450" s="12" t="str">
        <x:v>P26-REQ-449</x:v>
      </x:c>
      <x:c r="B450" s="12" t="str">
        <x:v>Labor Cost</x:v>
      </x:c>
      <x:c r="C450" s="12" t="str">
        <x:v>Should</x:v>
      </x:c>
      <x:c r="D450" s="12" t="str">
        <x:v>GrounUp shall implement governed labor cost execution capability 449 using versioned Phase 25 library data, explicit quantity/production assumptions, deterministic calculation lineage, tenant security and mapped acceptance evidence.</x:v>
      </x:c>
      <x:c r="E450" s="12" t="str">
        <x:v>Capability 449 passes when inputs, library snapshot/version, formulas/rules, units, output values, rounding, scenario behavior, overrides, audit lineage and mapped tests are reproducible.</x:v>
      </x:c>
      <x:c r="F450" s="12" t="str">
        <x:v>v1.0.0</x:v>
      </x:c>
      <x:c r="G450" s="12" t="str">
        <x:v>Implementation-ready</x:v>
      </x:c>
    </x:row>
    <x:row r="451">
      <x:c r="A451" s="12" t="str">
        <x:v>P26-REQ-450</x:v>
      </x:c>
      <x:c r="B451" s="12" t="str">
        <x:v>Labor Burden</x:v>
      </x:c>
      <x:c r="C451" s="12" t="str">
        <x:v>Should</x:v>
      </x:c>
      <x:c r="D451" s="12" t="str">
        <x:v>GrounUp shall implement governed labor burden execution capability 450 using versioned Phase 25 library data, explicit quantity/production assumptions, deterministic calculation lineage, tenant security and mapped acceptance evidence.</x:v>
      </x:c>
      <x:c r="E451" s="12" t="str">
        <x:v>Capability 450 passes when inputs, library snapshot/version, formulas/rules, units, output values, rounding, scenario behavior, overrides, audit lineage and mapped tests are reproducible.</x:v>
      </x:c>
      <x:c r="F451" s="12" t="str">
        <x:v>v1.0.0</x:v>
      </x:c>
      <x:c r="G45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P26-TST-001</x:v>
      </x:c>
      <x:c r="B2" s="12" t="str">
        <x:v>P26-REQ-001</x:v>
      </x:c>
      <x:c r="C2" s="12" t="str">
        <x:v>Estimate Lifecycle</x:v>
      </x:c>
      <x:c r="D2" s="12" t="str">
        <x:v>Validate P26-REQ-001 using deterministic normal, boundary, invalid-unit, override, changed-library, and permission scenarios as applicable.</x:v>
      </x:c>
      <x:c r="E2" s="12" t="str">
        <x:v>Calculated outputs, units, lineage and approvals match the controlled formula/rule; invalid inputs and unauthorized overrides are blocked.</x:v>
      </x:c>
      <x:c r="F2" s="12" t="str">
        <x:v>Planned</x:v>
      </x:c>
    </x:row>
    <x:row r="3">
      <x:c r="A3" s="12" t="str">
        <x:v>P26-TST-002</x:v>
      </x:c>
      <x:c r="B3" s="12" t="str">
        <x:v>P26-REQ-002</x:v>
      </x:c>
      <x:c r="C3" s="12" t="str">
        <x:v>Estimate Versions</x:v>
      </x:c>
      <x:c r="D3" s="12" t="str">
        <x:v>Validate P26-REQ-002 using deterministic normal, boundary, invalid-unit, override, changed-library, and permission scenarios as applicable.</x:v>
      </x:c>
      <x:c r="E3" s="12" t="str">
        <x:v>Calculated outputs, units, lineage and approvals match the controlled formula/rule; invalid inputs and unauthorized overrides are blocked.</x:v>
      </x:c>
      <x:c r="F3" s="12" t="str">
        <x:v>Planned</x:v>
      </x:c>
    </x:row>
    <x:row r="4">
      <x:c r="A4" s="12" t="str">
        <x:v>P26-TST-003</x:v>
      </x:c>
      <x:c r="B4" s="12" t="str">
        <x:v>P26-REQ-003</x:v>
      </x:c>
      <x:c r="C4" s="12" t="str">
        <x:v>Estimate Templates</x:v>
      </x:c>
      <x:c r="D4" s="12" t="str">
        <x:v>Validate P26-REQ-003 using deterministic normal, boundary, invalid-unit, override, changed-library, and permission scenarios as applicable.</x:v>
      </x:c>
      <x:c r="E4" s="12" t="str">
        <x:v>Calculated outputs, units, lineage and approvals match the controlled formula/rule; invalid inputs and unauthorized overrides are blocked.</x:v>
      </x:c>
      <x:c r="F4" s="12" t="str">
        <x:v>Planned</x:v>
      </x:c>
    </x:row>
    <x:row r="5">
      <x:c r="A5" s="12" t="str">
        <x:v>P26-TST-004</x:v>
      </x:c>
      <x:c r="B5" s="12" t="str">
        <x:v>P26-REQ-004</x:v>
      </x:c>
      <x:c r="C5" s="12" t="str">
        <x:v>Service Selection</x:v>
      </x:c>
      <x:c r="D5" s="12" t="str">
        <x:v>Validate P26-REQ-004 using deterministic normal, boundary, invalid-unit, override, changed-library, and permission scenarios as applicable.</x:v>
      </x:c>
      <x:c r="E5" s="12" t="str">
        <x:v>Calculated outputs, units, lineage and approvals match the controlled formula/rule; invalid inputs and unauthorized overrides are blocked.</x:v>
      </x:c>
      <x:c r="F5" s="12" t="str">
        <x:v>Planned</x:v>
      </x:c>
    </x:row>
    <x:row r="6">
      <x:c r="A6" s="12" t="str">
        <x:v>P26-TST-005</x:v>
      </x:c>
      <x:c r="B6" s="12" t="str">
        <x:v>P26-REQ-005</x:v>
      </x:c>
      <x:c r="C6" s="12" t="str">
        <x:v>Assembly Expansion</x:v>
      </x:c>
      <x:c r="D6" s="12" t="str">
        <x:v>Validate P26-REQ-005 using deterministic normal, boundary, invalid-unit, override, changed-library, and permission scenarios as applicable.</x:v>
      </x:c>
      <x:c r="E6" s="12" t="str">
        <x:v>Calculated outputs, units, lineage and approvals match the controlled formula/rule; invalid inputs and unauthorized overrides are blocked.</x:v>
      </x:c>
      <x:c r="F6" s="12" t="str">
        <x:v>Planned</x:v>
      </x:c>
    </x:row>
    <x:row r="7">
      <x:c r="A7" s="12" t="str">
        <x:v>P26-TST-006</x:v>
      </x:c>
      <x:c r="B7" s="12" t="str">
        <x:v>P26-REQ-006</x:v>
      </x:c>
      <x:c r="C7" s="12" t="str">
        <x:v>Quantity Input</x:v>
      </x:c>
      <x:c r="D7" s="12" t="str">
        <x:v>Validate P26-REQ-006 using deterministic normal, boundary, invalid-unit, override, changed-library, and permission scenarios as applicable.</x:v>
      </x:c>
      <x:c r="E7" s="12" t="str">
        <x:v>Calculated outputs, units, lineage and approvals match the controlled formula/rule; invalid inputs and unauthorized overrides are blocked.</x:v>
      </x:c>
      <x:c r="F7" s="12" t="str">
        <x:v>Planned</x:v>
      </x:c>
    </x:row>
    <x:row r="8">
      <x:c r="A8" s="12" t="str">
        <x:v>P26-TST-007</x:v>
      </x:c>
      <x:c r="B8" s="12" t="str">
        <x:v>P26-REQ-007</x:v>
      </x:c>
      <x:c r="C8" s="12" t="str">
        <x:v>Quantity Takeoff Intake</x:v>
      </x:c>
      <x:c r="D8" s="12" t="str">
        <x:v>Validate P26-REQ-007 using deterministic normal, boundary, invalid-unit, override, changed-library, and permission scenarios as applicable.</x:v>
      </x:c>
      <x:c r="E8" s="12" t="str">
        <x:v>Calculated outputs, units, lineage and approvals match the controlled formula/rule; invalid inputs and unauthorized overrides are blocked.</x:v>
      </x:c>
      <x:c r="F8" s="12" t="str">
        <x:v>Planned</x:v>
      </x:c>
    </x:row>
    <x:row r="9">
      <x:c r="A9" s="12" t="str">
        <x:v>P26-TST-008</x:v>
      </x:c>
      <x:c r="B9" s="12" t="str">
        <x:v>P26-REQ-008</x:v>
      </x:c>
      <x:c r="C9" s="12" t="str">
        <x:v>Labor Cost</x:v>
      </x:c>
      <x:c r="D9" s="12" t="str">
        <x:v>Validate P26-REQ-008 using deterministic normal, boundary, invalid-unit, override, changed-library, and permission scenarios as applicable.</x:v>
      </x:c>
      <x:c r="E9" s="12" t="str">
        <x:v>Calculated outputs, units, lineage and approvals match the controlled formula/rule; invalid inputs and unauthorized overrides are blocked.</x:v>
      </x:c>
      <x:c r="F9" s="12" t="str">
        <x:v>Planned</x:v>
      </x:c>
    </x:row>
    <x:row r="10">
      <x:c r="A10" s="12" t="str">
        <x:v>P26-TST-009</x:v>
      </x:c>
      <x:c r="B10" s="12" t="str">
        <x:v>P26-REQ-009</x:v>
      </x:c>
      <x:c r="C10" s="12" t="str">
        <x:v>Labor Burden</x:v>
      </x:c>
      <x:c r="D10" s="12" t="str">
        <x:v>Validate P26-REQ-009 using deterministic normal, boundary, invalid-unit, override, changed-library, and permission scenarios as applicable.</x:v>
      </x:c>
      <x:c r="E10" s="12" t="str">
        <x:v>Calculated outputs, units, lineage and approvals match the controlled formula/rule; invalid inputs and unauthorized overrides are blocked.</x:v>
      </x:c>
      <x:c r="F10" s="12" t="str">
        <x:v>Planned</x:v>
      </x:c>
    </x:row>
    <x:row r="11">
      <x:c r="A11" s="12" t="str">
        <x:v>P26-TST-010</x:v>
      </x:c>
      <x:c r="B11" s="12" t="str">
        <x:v>P26-REQ-010</x:v>
      </x:c>
      <x:c r="C11" s="12" t="str">
        <x:v>Crew Composition</x:v>
      </x:c>
      <x:c r="D11" s="12" t="str">
        <x:v>Validate P26-REQ-010 using deterministic normal, boundary, invalid-unit, override, changed-library, and permission scenarios as applicable.</x:v>
      </x:c>
      <x:c r="E11" s="12" t="str">
        <x:v>Calculated outputs, units, lineage and approvals match the controlled formula/rule; invalid inputs and unauthorized overrides are blocked.</x:v>
      </x:c>
      <x:c r="F11" s="12" t="str">
        <x:v>Planned</x:v>
      </x:c>
    </x:row>
    <x:row r="12">
      <x:c r="A12" s="12" t="str">
        <x:v>P26-TST-011</x:v>
      </x:c>
      <x:c r="B12" s="12" t="str">
        <x:v>P26-REQ-011</x:v>
      </x:c>
      <x:c r="C12" s="12" t="str">
        <x:v>Crew Size Recommendation</x:v>
      </x:c>
      <x:c r="D12" s="12" t="str">
        <x:v>Validate P26-REQ-011 using deterministic normal, boundary, invalid-unit, override, changed-library, and permission scenarios as applicable.</x:v>
      </x:c>
      <x:c r="E12" s="12" t="str">
        <x:v>Calculated outputs, units, lineage and approvals match the controlled formula/rule; invalid inputs and unauthorized overrides are blocked.</x:v>
      </x:c>
      <x:c r="F12" s="12" t="str">
        <x:v>Planned</x:v>
      </x:c>
    </x:row>
    <x:row r="13">
      <x:c r="A13" s="12" t="str">
        <x:v>P26-TST-012</x:v>
      </x:c>
      <x:c r="B13" s="12" t="str">
        <x:v>P26-REQ-012</x:v>
      </x:c>
      <x:c r="C13" s="12" t="str">
        <x:v>Equipment Selection</x:v>
      </x:c>
      <x:c r="D13" s="12" t="str">
        <x:v>Validate P26-REQ-012 using deterministic normal, boundary, invalid-unit, override, changed-library, and permission scenarios as applicable.</x:v>
      </x:c>
      <x:c r="E13" s="12" t="str">
        <x:v>Calculated outputs, units, lineage and approvals match the controlled formula/rule; invalid inputs and unauthorized overrides are blocked.</x:v>
      </x:c>
      <x:c r="F13" s="12" t="str">
        <x:v>Planned</x:v>
      </x:c>
    </x:row>
    <x:row r="14">
      <x:c r="A14" s="12" t="str">
        <x:v>P26-TST-013</x:v>
      </x:c>
      <x:c r="B14" s="12" t="str">
        <x:v>P26-REQ-013</x:v>
      </x:c>
      <x:c r="C14" s="12" t="str">
        <x:v>Equipment Cost</x:v>
      </x:c>
      <x:c r="D14" s="12" t="str">
        <x:v>Validate P26-REQ-013 using deterministic normal, boundary, invalid-unit, override, changed-library, and permission scenarios as applicable.</x:v>
      </x:c>
      <x:c r="E14" s="12" t="str">
        <x:v>Calculated outputs, units, lineage and approvals match the controlled formula/rule; invalid inputs and unauthorized overrides are blocked.</x:v>
      </x:c>
      <x:c r="F14" s="12" t="str">
        <x:v>Planned</x:v>
      </x:c>
    </x:row>
    <x:row r="15">
      <x:c r="A15" s="12" t="str">
        <x:v>P26-TST-014</x:v>
      </x:c>
      <x:c r="B15" s="12" t="str">
        <x:v>P26-REQ-014</x:v>
      </x:c>
      <x:c r="C15" s="12" t="str">
        <x:v>Equipment Rate Selection</x:v>
      </x:c>
      <x:c r="D15" s="12" t="str">
        <x:v>Validate P26-REQ-014 using deterministic normal, boundary, invalid-unit, override, changed-library, and permission scenarios as applicable.</x:v>
      </x:c>
      <x:c r="E15" s="12" t="str">
        <x:v>Calculated outputs, units, lineage and approvals match the controlled formula/rule; invalid inputs and unauthorized overrides are blocked.</x:v>
      </x:c>
      <x:c r="F15" s="12" t="str">
        <x:v>Planned</x:v>
      </x:c>
    </x:row>
    <x:row r="16">
      <x:c r="A16" s="12" t="str">
        <x:v>P26-TST-015</x:v>
      </x:c>
      <x:c r="B16" s="12" t="str">
        <x:v>P26-REQ-015</x:v>
      </x:c>
      <x:c r="C16" s="12" t="str">
        <x:v>Fuel Consumption</x:v>
      </x:c>
      <x:c r="D16" s="12" t="str">
        <x:v>Validate P26-REQ-015 using deterministic normal, boundary, invalid-unit, override, changed-library, and permission scenarios as applicable.</x:v>
      </x:c>
      <x:c r="E16" s="12" t="str">
        <x:v>Calculated outputs, units, lineage and approvals match the controlled formula/rule; invalid inputs and unauthorized overrides are blocked.</x:v>
      </x:c>
      <x:c r="F16" s="12" t="str">
        <x:v>Planned</x:v>
      </x:c>
    </x:row>
    <x:row r="17">
      <x:c r="A17" s="12" t="str">
        <x:v>P26-TST-016</x:v>
      </x:c>
      <x:c r="B17" s="12" t="str">
        <x:v>P26-REQ-016</x:v>
      </x:c>
      <x:c r="C17" s="12" t="str">
        <x:v>Truck Selection</x:v>
      </x:c>
      <x:c r="D17" s="12" t="str">
        <x:v>Validate P26-REQ-016 using deterministic normal, boundary, invalid-unit, override, changed-library, and permission scenarios as applicable.</x:v>
      </x:c>
      <x:c r="E17" s="12" t="str">
        <x:v>Calculated outputs, units, lineage and approvals match the controlled formula/rule; invalid inputs and unauthorized overrides are blocked.</x:v>
      </x:c>
      <x:c r="F17" s="12" t="str">
        <x:v>Planned</x:v>
      </x:c>
    </x:row>
    <x:row r="18">
      <x:c r="A18" s="12" t="str">
        <x:v>P26-TST-017</x:v>
      </x:c>
      <x:c r="B18" s="12" t="str">
        <x:v>P26-REQ-017</x:v>
      </x:c>
      <x:c r="C18" s="12" t="str">
        <x:v>Truck Cycle Calculation</x:v>
      </x:c>
      <x:c r="D18" s="12" t="str">
        <x:v>Validate P26-REQ-017 using deterministic normal, boundary, invalid-unit, override, changed-library, and permission scenarios as applicable.</x:v>
      </x:c>
      <x:c r="E18" s="12" t="str">
        <x:v>Calculated outputs, units, lineage and approvals match the controlled formula/rule; invalid inputs and unauthorized overrides are blocked.</x:v>
      </x:c>
      <x:c r="F18" s="12" t="str">
        <x:v>Planned</x:v>
      </x:c>
    </x:row>
    <x:row r="19">
      <x:c r="A19" s="12" t="str">
        <x:v>P26-TST-018</x:v>
      </x:c>
      <x:c r="B19" s="12" t="str">
        <x:v>P26-REQ-018</x:v>
      </x:c>
      <x:c r="C19" s="12" t="str">
        <x:v>Truck Count</x:v>
      </x:c>
      <x:c r="D19" s="12" t="str">
        <x:v>Validate P26-REQ-018 using deterministic normal, boundary, invalid-unit, override, changed-library, and permission scenarios as applicable.</x:v>
      </x:c>
      <x:c r="E19" s="12" t="str">
        <x:v>Calculated outputs, units, lineage and approvals match the controlled formula/rule; invalid inputs and unauthorized overrides are blocked.</x:v>
      </x:c>
      <x:c r="F19" s="12" t="str">
        <x:v>Planned</x:v>
      </x:c>
    </x:row>
    <x:row r="20">
      <x:c r="A20" s="12" t="str">
        <x:v>P26-TST-019</x:v>
      </x:c>
      <x:c r="B20" s="12" t="str">
        <x:v>P26-REQ-019</x:v>
      </x:c>
      <x:c r="C20" s="12" t="str">
        <x:v>Haul Distance</x:v>
      </x:c>
      <x:c r="D20" s="12" t="str">
        <x:v>Validate P26-REQ-019 using deterministic normal, boundary, invalid-unit, override, changed-library, and permission scenarios as applicable.</x:v>
      </x:c>
      <x:c r="E20" s="12" t="str">
        <x:v>Calculated outputs, units, lineage and approvals match the controlled formula/rule; invalid inputs and unauthorized overrides are blocked.</x:v>
      </x:c>
      <x:c r="F20" s="12" t="str">
        <x:v>Planned</x:v>
      </x:c>
    </x:row>
    <x:row r="21">
      <x:c r="A21" s="12" t="str">
        <x:v>P26-TST-020</x:v>
      </x:c>
      <x:c r="B21" s="12" t="str">
        <x:v>P26-REQ-020</x:v>
      </x:c>
      <x:c r="C21" s="12" t="str">
        <x:v>Disposal Cost</x:v>
      </x:c>
      <x:c r="D21" s="12" t="str">
        <x:v>Validate P26-REQ-020 using deterministic normal, boundary, invalid-unit, override, changed-library, and permission scenarios as applicable.</x:v>
      </x:c>
      <x:c r="E21" s="12" t="str">
        <x:v>Calculated outputs, units, lineage and approvals match the controlled formula/rule; invalid inputs and unauthorized overrides are blocked.</x:v>
      </x:c>
      <x:c r="F21" s="12" t="str">
        <x:v>Planned</x:v>
      </x:c>
    </x:row>
    <x:row r="22">
      <x:c r="A22" s="12" t="str">
        <x:v>P26-TST-021</x:v>
      </x:c>
      <x:c r="B22" s="12" t="str">
        <x:v>P26-REQ-021</x:v>
      </x:c>
      <x:c r="C22" s="12" t="str">
        <x:v>Material Cost</x:v>
      </x:c>
      <x:c r="D22" s="12" t="str">
        <x:v>Validate P26-REQ-021 using deterministic normal, boundary, invalid-unit, override, changed-library, and permission scenarios as applicable.</x:v>
      </x:c>
      <x:c r="E22" s="12" t="str">
        <x:v>Calculated outputs, units, lineage and approvals match the controlled formula/rule; invalid inputs and unauthorized overrides are blocked.</x:v>
      </x:c>
      <x:c r="F22" s="12" t="str">
        <x:v>Planned</x:v>
      </x:c>
    </x:row>
    <x:row r="23">
      <x:c r="A23" s="12" t="str">
        <x:v>P26-TST-022</x:v>
      </x:c>
      <x:c r="B23" s="12" t="str">
        <x:v>P26-REQ-022</x:v>
      </x:c>
      <x:c r="C23" s="12" t="str">
        <x:v>Material Waste</x:v>
      </x:c>
      <x:c r="D23" s="12" t="str">
        <x:v>Validate P26-REQ-022 using deterministic normal, boundary, invalid-unit, override, changed-library, and permission scenarios as applicable.</x:v>
      </x:c>
      <x:c r="E23" s="12" t="str">
        <x:v>Calculated outputs, units, lineage and approvals match the controlled formula/rule; invalid inputs and unauthorized overrides are blocked.</x:v>
      </x:c>
      <x:c r="F23" s="12" t="str">
        <x:v>Planned</x:v>
      </x:c>
    </x:row>
    <x:row r="24">
      <x:c r="A24" s="12" t="str">
        <x:v>P26-TST-023</x:v>
      </x:c>
      <x:c r="B24" s="12" t="str">
        <x:v>P26-REQ-023</x:v>
      </x:c>
      <x:c r="C24" s="12" t="str">
        <x:v>Subcontract Cost</x:v>
      </x:c>
      <x:c r="D24" s="12" t="str">
        <x:v>Validate P26-REQ-023 using deterministic normal, boundary, invalid-unit, override, changed-library, and permission scenarios as applicable.</x:v>
      </x:c>
      <x:c r="E24" s="12" t="str">
        <x:v>Calculated outputs, units, lineage and approvals match the controlled formula/rule; invalid inputs and unauthorized overrides are blocked.</x:v>
      </x:c>
      <x:c r="F24" s="12" t="str">
        <x:v>Planned</x:v>
      </x:c>
    </x:row>
    <x:row r="25">
      <x:c r="A25" s="12" t="str">
        <x:v>P26-TST-024</x:v>
      </x:c>
      <x:c r="B25" s="12" t="str">
        <x:v>P26-REQ-024</x:v>
      </x:c>
      <x:c r="C25" s="12" t="str">
        <x:v>Production Rate</x:v>
      </x:c>
      <x:c r="D25" s="12" t="str">
        <x:v>Validate P26-REQ-024 using deterministic normal, boundary, invalid-unit, override, changed-library, and permission scenarios as applicable.</x:v>
      </x:c>
      <x:c r="E25" s="12" t="str">
        <x:v>Calculated outputs, units, lineage and approvals match the controlled formula/rule; invalid inputs and unauthorized overrides are blocked.</x:v>
      </x:c>
      <x:c r="F25" s="12" t="str">
        <x:v>Planned</x:v>
      </x:c>
    </x:row>
    <x:row r="26">
      <x:c r="A26" s="12" t="str">
        <x:v>P26-TST-025</x:v>
      </x:c>
      <x:c r="B26" s="12" t="str">
        <x:v>P26-REQ-025</x:v>
      </x:c>
      <x:c r="C26" s="12" t="str">
        <x:v>Production Modifiers</x:v>
      </x:c>
      <x:c r="D26" s="12" t="str">
        <x:v>Validate P26-REQ-025 using deterministic normal, boundary, invalid-unit, override, changed-library, and permission scenarios as applicable.</x:v>
      </x:c>
      <x:c r="E26" s="12" t="str">
        <x:v>Calculated outputs, units, lineage and approvals match the controlled formula/rule; invalid inputs and unauthorized overrides are blocked.</x:v>
      </x:c>
      <x:c r="F26" s="12" t="str">
        <x:v>Planned</x:v>
      </x:c>
    </x:row>
    <x:row r="27">
      <x:c r="A27" s="12" t="str">
        <x:v>P26-TST-026</x:v>
      </x:c>
      <x:c r="B27" s="12" t="str">
        <x:v>P26-REQ-026</x:v>
      </x:c>
      <x:c r="C27" s="12" t="str">
        <x:v>Duration Calculation</x:v>
      </x:c>
      <x:c r="D27" s="12" t="str">
        <x:v>Validate P26-REQ-026 using deterministic normal, boundary, invalid-unit, override, changed-library, and permission scenarios as applicable.</x:v>
      </x:c>
      <x:c r="E27" s="12" t="str">
        <x:v>Calculated outputs, units, lineage and approvals match the controlled formula/rule; invalid inputs and unauthorized overrides are blocked.</x:v>
      </x:c>
      <x:c r="F27" s="12" t="str">
        <x:v>Planned</x:v>
      </x:c>
    </x:row>
    <x:row r="28">
      <x:c r="A28" s="12" t="str">
        <x:v>P26-TST-027</x:v>
      </x:c>
      <x:c r="B28" s="12" t="str">
        <x:v>P26-REQ-027</x:v>
      </x:c>
      <x:c r="C28" s="12" t="str">
        <x:v>Work Hours &amp; Shifts</x:v>
      </x:c>
      <x:c r="D28" s="12" t="str">
        <x:v>Validate P26-REQ-027 using deterministic normal, boundary, invalid-unit, override, changed-library, and permission scenarios as applicable.</x:v>
      </x:c>
      <x:c r="E28" s="12" t="str">
        <x:v>Calculated outputs, units, lineage and approvals match the controlled formula/rule; invalid inputs and unauthorized overrides are blocked.</x:v>
      </x:c>
      <x:c r="F28" s="12" t="str">
        <x:v>Planned</x:v>
      </x:c>
    </x:row>
    <x:row r="29">
      <x:c r="A29" s="12" t="str">
        <x:v>P26-TST-028</x:v>
      </x:c>
      <x:c r="B29" s="12" t="str">
        <x:v>P26-REQ-028</x:v>
      </x:c>
      <x:c r="C29" s="12" t="str">
        <x:v>Mobilization</x:v>
      </x:c>
      <x:c r="D29" s="12" t="str">
        <x:v>Validate P26-REQ-028 using deterministic normal, boundary, invalid-unit, override, changed-library, and permission scenarios as applicable.</x:v>
      </x:c>
      <x:c r="E29" s="12" t="str">
        <x:v>Calculated outputs, units, lineage and approvals match the controlled formula/rule; invalid inputs and unauthorized overrides are blocked.</x:v>
      </x:c>
      <x:c r="F29" s="12" t="str">
        <x:v>Planned</x:v>
      </x:c>
    </x:row>
    <x:row r="30">
      <x:c r="A30" s="12" t="str">
        <x:v>P26-TST-029</x:v>
      </x:c>
      <x:c r="B30" s="12" t="str">
        <x:v>P26-REQ-029</x:v>
      </x:c>
      <x:c r="C30" s="12" t="str">
        <x:v>Demobilization</x:v>
      </x:c>
      <x:c r="D30" s="12" t="str">
        <x:v>Validate P26-REQ-029 using deterministic normal, boundary, invalid-unit, override, changed-library, and permission scenarios as applicable.</x:v>
      </x:c>
      <x:c r="E30" s="12" t="str">
        <x:v>Calculated outputs, units, lineage and approvals match the controlled formula/rule; invalid inputs and unauthorized overrides are blocked.</x:v>
      </x:c>
      <x:c r="F30" s="12" t="str">
        <x:v>Planned</x:v>
      </x:c>
    </x:row>
    <x:row r="31">
      <x:c r="A31" s="12" t="str">
        <x:v>P26-TST-030</x:v>
      </x:c>
      <x:c r="B31" s="12" t="str">
        <x:v>P26-REQ-030</x:v>
      </x:c>
      <x:c r="C31" s="12" t="str">
        <x:v>Indirect Costs</x:v>
      </x:c>
      <x:c r="D31" s="12" t="str">
        <x:v>Validate P26-REQ-030 using deterministic normal, boundary, invalid-unit, override, changed-library, and permission scenarios as applicable.</x:v>
      </x:c>
      <x:c r="E31" s="12" t="str">
        <x:v>Calculated outputs, units, lineage and approvals match the controlled formula/rule; invalid inputs and unauthorized overrides are blocked.</x:v>
      </x:c>
      <x:c r="F31" s="12" t="str">
        <x:v>Planned</x:v>
      </x:c>
    </x:row>
    <x:row r="32">
      <x:c r="A32" s="12" t="str">
        <x:v>P26-TST-031</x:v>
      </x:c>
      <x:c r="B32" s="12" t="str">
        <x:v>P26-REQ-031</x:v>
      </x:c>
      <x:c r="C32" s="12" t="str">
        <x:v>Contingency</x:v>
      </x:c>
      <x:c r="D32" s="12" t="str">
        <x:v>Validate P26-REQ-031 using deterministic normal, boundary, invalid-unit, override, changed-library, and permission scenarios as applicable.</x:v>
      </x:c>
      <x:c r="E32" s="12" t="str">
        <x:v>Calculated outputs, units, lineage and approvals match the controlled formula/rule; invalid inputs and unauthorized overrides are blocked.</x:v>
      </x:c>
      <x:c r="F32" s="12" t="str">
        <x:v>Planned</x:v>
      </x:c>
    </x:row>
    <x:row r="33">
      <x:c r="A33" s="12" t="str">
        <x:v>P26-TST-032</x:v>
      </x:c>
      <x:c r="B33" s="12" t="str">
        <x:v>P26-REQ-032</x:v>
      </x:c>
      <x:c r="C33" s="12" t="str">
        <x:v>Markup</x:v>
      </x:c>
      <x:c r="D33" s="12" t="str">
        <x:v>Validate P26-REQ-032 using deterministic normal, boundary, invalid-unit, override, changed-library, and permission scenarios as applicable.</x:v>
      </x:c>
      <x:c r="E33" s="12" t="str">
        <x:v>Calculated outputs, units, lineage and approvals match the controlled formula/rule; invalid inputs and unauthorized overrides are blocked.</x:v>
      </x:c>
      <x:c r="F33" s="12" t="str">
        <x:v>Planned</x:v>
      </x:c>
    </x:row>
    <x:row r="34">
      <x:c r="A34" s="12" t="str">
        <x:v>P26-TST-033</x:v>
      </x:c>
      <x:c r="B34" s="12" t="str">
        <x:v>P26-REQ-033</x:v>
      </x:c>
      <x:c r="C34" s="12" t="str">
        <x:v>Overhead &amp; Profit</x:v>
      </x:c>
      <x:c r="D34" s="12" t="str">
        <x:v>Validate P26-REQ-033 using deterministic normal, boundary, invalid-unit, override, changed-library, and permission scenarios as applicable.</x:v>
      </x:c>
      <x:c r="E34" s="12" t="str">
        <x:v>Calculated outputs, units, lineage and approvals match the controlled formula/rule; invalid inputs and unauthorized overrides are blocked.</x:v>
      </x:c>
      <x:c r="F34" s="12" t="str">
        <x:v>Planned</x:v>
      </x:c>
    </x:row>
    <x:row r="35">
      <x:c r="A35" s="12" t="str">
        <x:v>P26-TST-034</x:v>
      </x:c>
      <x:c r="B35" s="12" t="str">
        <x:v>P26-REQ-034</x:v>
      </x:c>
      <x:c r="C35" s="12" t="str">
        <x:v>Tax &amp; Bond</x:v>
      </x:c>
      <x:c r="D35" s="12" t="str">
        <x:v>Validate P26-REQ-034 using deterministic normal, boundary, invalid-unit, override, changed-library, and permission scenarios as applicable.</x:v>
      </x:c>
      <x:c r="E35" s="12" t="str">
        <x:v>Calculated outputs, units, lineage and approvals match the controlled formula/rule; invalid inputs and unauthorized overrides are blocked.</x:v>
      </x:c>
      <x:c r="F35" s="12" t="str">
        <x:v>Planned</x:v>
      </x:c>
    </x:row>
    <x:row r="36">
      <x:c r="A36" s="12" t="str">
        <x:v>P26-TST-035</x:v>
      </x:c>
      <x:c r="B36" s="12" t="str">
        <x:v>P26-REQ-035</x:v>
      </x:c>
      <x:c r="C36" s="12" t="str">
        <x:v>Unit Price</x:v>
      </x:c>
      <x:c r="D36" s="12" t="str">
        <x:v>Validate P26-REQ-035 using deterministic normal, boundary, invalid-unit, override, changed-library, and permission scenarios as applicable.</x:v>
      </x:c>
      <x:c r="E36" s="12" t="str">
        <x:v>Calculated outputs, units, lineage and approvals match the controlled formula/rule; invalid inputs and unauthorized overrides are blocked.</x:v>
      </x:c>
      <x:c r="F36" s="12" t="str">
        <x:v>Planned</x:v>
      </x:c>
    </x:row>
    <x:row r="37">
      <x:c r="A37" s="12" t="str">
        <x:v>P26-TST-036</x:v>
      </x:c>
      <x:c r="B37" s="12" t="str">
        <x:v>P26-REQ-036</x:v>
      </x:c>
      <x:c r="C37" s="12" t="str">
        <x:v>Bid Price</x:v>
      </x:c>
      <x:c r="D37" s="12" t="str">
        <x:v>Validate P26-REQ-036 using deterministic normal, boundary, invalid-unit, override, changed-library, and permission scenarios as applicable.</x:v>
      </x:c>
      <x:c r="E37" s="12" t="str">
        <x:v>Calculated outputs, units, lineage and approvals match the controlled formula/rule; invalid inputs and unauthorized overrides are blocked.</x:v>
      </x:c>
      <x:c r="F37" s="12" t="str">
        <x:v>Planned</x:v>
      </x:c>
    </x:row>
    <x:row r="38">
      <x:c r="A38" s="12" t="str">
        <x:v>P26-TST-037</x:v>
      </x:c>
      <x:c r="B38" s="12" t="str">
        <x:v>P26-REQ-037</x:v>
      </x:c>
      <x:c r="C38" s="12" t="str">
        <x:v>Low/High Range</x:v>
      </x:c>
      <x:c r="D38" s="12" t="str">
        <x:v>Validate P26-REQ-037 using deterministic normal, boundary, invalid-unit, override, changed-library, and permission scenarios as applicable.</x:v>
      </x:c>
      <x:c r="E38" s="12" t="str">
        <x:v>Calculated outputs, units, lineage and approvals match the controlled formula/rule; invalid inputs and unauthorized overrides are blocked.</x:v>
      </x:c>
      <x:c r="F38" s="12" t="str">
        <x:v>Planned</x:v>
      </x:c>
    </x:row>
    <x:row r="39">
      <x:c r="A39" s="12" t="str">
        <x:v>P26-TST-038</x:v>
      </x:c>
      <x:c r="B39" s="12" t="str">
        <x:v>P26-REQ-038</x:v>
      </x:c>
      <x:c r="C39" s="12" t="str">
        <x:v>Scenario Comparison</x:v>
      </x:c>
      <x:c r="D39" s="12" t="str">
        <x:v>Validate P26-REQ-038 using deterministic normal, boundary, invalid-unit, override, changed-library, and permission scenarios as applicable.</x:v>
      </x:c>
      <x:c r="E39" s="12" t="str">
        <x:v>Calculated outputs, units, lineage and approvals match the controlled formula/rule; invalid inputs and unauthorized overrides are blocked.</x:v>
      </x:c>
      <x:c r="F39" s="12" t="str">
        <x:v>Planned</x:v>
      </x:c>
    </x:row>
    <x:row r="40">
      <x:c r="A40" s="12" t="str">
        <x:v>P26-TST-039</x:v>
      </x:c>
      <x:c r="B40" s="12" t="str">
        <x:v>P26-REQ-039</x:v>
      </x:c>
      <x:c r="C40" s="12" t="str">
        <x:v>Estimate Confidence</x:v>
      </x:c>
      <x:c r="D40" s="12" t="str">
        <x:v>Validate P26-REQ-039 using deterministic normal, boundary, invalid-unit, override, changed-library, and permission scenarios as applicable.</x:v>
      </x:c>
      <x:c r="E40" s="12" t="str">
        <x:v>Calculated outputs, units, lineage and approvals match the controlled formula/rule; invalid inputs and unauthorized overrides are blocked.</x:v>
      </x:c>
      <x:c r="F40" s="12" t="str">
        <x:v>Planned</x:v>
      </x:c>
    </x:row>
    <x:row r="41">
      <x:c r="A41" s="12" t="str">
        <x:v>P26-TST-040</x:v>
      </x:c>
      <x:c r="B41" s="12" t="str">
        <x:v>P26-REQ-040</x:v>
      </x:c>
      <x:c r="C41" s="12" t="str">
        <x:v>Regional Pricing</x:v>
      </x:c>
      <x:c r="D41" s="12" t="str">
        <x:v>Validate P26-REQ-040 using deterministic normal, boundary, invalid-unit, override, changed-library, and permission scenarios as applicable.</x:v>
      </x:c>
      <x:c r="E41" s="12" t="str">
        <x:v>Calculated outputs, units, lineage and approvals match the controlled formula/rule; invalid inputs and unauthorized overrides are blocked.</x:v>
      </x:c>
      <x:c r="F41" s="12" t="str">
        <x:v>Planned</x:v>
      </x:c>
    </x:row>
    <x:row r="42">
      <x:c r="A42" s="12" t="str">
        <x:v>P26-TST-041</x:v>
      </x:c>
      <x:c r="B42" s="12" t="str">
        <x:v>P26-REQ-041</x:v>
      </x:c>
      <x:c r="C42" s="12" t="str">
        <x:v>Vendor Quote Override</x:v>
      </x:c>
      <x:c r="D42" s="12" t="str">
        <x:v>Validate P26-REQ-041 using deterministic normal, boundary, invalid-unit, override, changed-library, and permission scenarios as applicable.</x:v>
      </x:c>
      <x:c r="E42" s="12" t="str">
        <x:v>Calculated outputs, units, lineage and approvals match the controlled formula/rule; invalid inputs and unauthorized overrides are blocked.</x:v>
      </x:c>
      <x:c r="F42" s="12" t="str">
        <x:v>Planned</x:v>
      </x:c>
    </x:row>
    <x:row r="43">
      <x:c r="A43" s="12" t="str">
        <x:v>P26-TST-042</x:v>
      </x:c>
      <x:c r="B43" s="12" t="str">
        <x:v>P26-REQ-042</x:v>
      </x:c>
      <x:c r="C43" s="12" t="str">
        <x:v>Snapshot Reproducibility</x:v>
      </x:c>
      <x:c r="D43" s="12" t="str">
        <x:v>Validate P26-REQ-042 using deterministic normal, boundary, invalid-unit, override, changed-library, and permission scenarios as applicable.</x:v>
      </x:c>
      <x:c r="E43" s="12" t="str">
        <x:v>Calculated outputs, units, lineage and approvals match the controlled formula/rule; invalid inputs and unauthorized overrides are blocked.</x:v>
      </x:c>
      <x:c r="F43" s="12" t="str">
        <x:v>Planned</x:v>
      </x:c>
    </x:row>
    <x:row r="44">
      <x:c r="A44" s="12" t="str">
        <x:v>P26-TST-043</x:v>
      </x:c>
      <x:c r="B44" s="12" t="str">
        <x:v>P26-REQ-043</x:v>
      </x:c>
      <x:c r="C44" s="12" t="str">
        <x:v>Service Catalog Writeback</x:v>
      </x:c>
      <x:c r="D44" s="12" t="str">
        <x:v>Validate P26-REQ-043 using deterministic normal, boundary, invalid-unit, override, changed-library, and permission scenarios as applicable.</x:v>
      </x:c>
      <x:c r="E44" s="12" t="str">
        <x:v>Calculated outputs, units, lineage and approvals match the controlled formula/rule; invalid inputs and unauthorized overrides are blocked.</x:v>
      </x:c>
      <x:c r="F44" s="12" t="str">
        <x:v>Planned</x:v>
      </x:c>
    </x:row>
    <x:row r="45">
      <x:c r="A45" s="12" t="str">
        <x:v>P26-TST-044</x:v>
      </x:c>
      <x:c r="B45" s="12" t="str">
        <x:v>P26-REQ-044</x:v>
      </x:c>
      <x:c r="C45" s="12" t="str">
        <x:v>AI Estimate Assist</x:v>
      </x:c>
      <x:c r="D45" s="12" t="str">
        <x:v>Validate P26-REQ-044 using deterministic normal, boundary, invalid-unit, override, changed-library, and permission scenarios as applicable.</x:v>
      </x:c>
      <x:c r="E45" s="12" t="str">
        <x:v>Calculated outputs, units, lineage and approvals match the controlled formula/rule; invalid inputs and unauthorized overrides are blocked.</x:v>
      </x:c>
      <x:c r="F45" s="12" t="str">
        <x:v>Planned</x:v>
      </x:c>
    </x:row>
    <x:row r="46">
      <x:c r="A46" s="12" t="str">
        <x:v>P26-TST-045</x:v>
      </x:c>
      <x:c r="B46" s="12" t="str">
        <x:v>P26-REQ-045</x:v>
      </x:c>
      <x:c r="C46" s="12" t="str">
        <x:v>Estimate Review &amp; Approval</x:v>
      </x:c>
      <x:c r="D46" s="12" t="str">
        <x:v>Validate P26-REQ-045 using deterministic normal, boundary, invalid-unit, override, changed-library, and permission scenarios as applicable.</x:v>
      </x:c>
      <x:c r="E46" s="12" t="str">
        <x:v>Calculated outputs, units, lineage and approvals match the controlled formula/rule; invalid inputs and unauthorized overrides are blocked.</x:v>
      </x:c>
      <x:c r="F46" s="12" t="str">
        <x:v>Planned</x:v>
      </x:c>
    </x:row>
    <x:row r="47">
      <x:c r="A47" s="12" t="str">
        <x:v>P26-TST-046</x:v>
      </x:c>
      <x:c r="B47" s="12" t="str">
        <x:v>P26-REQ-046</x:v>
      </x:c>
      <x:c r="C47" s="12" t="str">
        <x:v>Estimate Export</x:v>
      </x:c>
      <x:c r="D47" s="12" t="str">
        <x:v>Validate P26-REQ-046 using deterministic normal, boundary, invalid-unit, override, changed-library, and permission scenarios as applicable.</x:v>
      </x:c>
      <x:c r="E47" s="12" t="str">
        <x:v>Calculated outputs, units, lineage and approvals match the controlled formula/rule; invalid inputs and unauthorized overrides are blocked.</x:v>
      </x:c>
      <x:c r="F47" s="12" t="str">
        <x:v>Planned</x:v>
      </x:c>
    </x:row>
    <x:row r="48">
      <x:c r="A48" s="12" t="str">
        <x:v>P26-TST-047</x:v>
      </x:c>
      <x:c r="B48" s="12" t="str">
        <x:v>P26-REQ-047</x:v>
      </x:c>
      <x:c r="C48" s="12" t="str">
        <x:v>Proposal Handoff</x:v>
      </x:c>
      <x:c r="D48" s="12" t="str">
        <x:v>Validate P26-REQ-047 using deterministic normal, boundary, invalid-unit, override, changed-library, and permission scenarios as applicable.</x:v>
      </x:c>
      <x:c r="E48" s="12" t="str">
        <x:v>Calculated outputs, units, lineage and approvals match the controlled formula/rule; invalid inputs and unauthorized overrides are blocked.</x:v>
      </x:c>
      <x:c r="F48" s="12" t="str">
        <x:v>Planned</x:v>
      </x:c>
    </x:row>
    <x:row r="49">
      <x:c r="A49" s="12" t="str">
        <x:v>P26-TST-048</x:v>
      </x:c>
      <x:c r="B49" s="12" t="str">
        <x:v>P26-REQ-048</x:v>
      </x:c>
      <x:c r="C49" s="12" t="str">
        <x:v>Job Cost Baseline</x:v>
      </x:c>
      <x:c r="D49" s="12" t="str">
        <x:v>Validate P26-REQ-048 using deterministic normal, boundary, invalid-unit, override, changed-library, and permission scenarios as applicable.</x:v>
      </x:c>
      <x:c r="E49" s="12" t="str">
        <x:v>Calculated outputs, units, lineage and approvals match the controlled formula/rule; invalid inputs and unauthorized overrides are blocked.</x:v>
      </x:c>
      <x:c r="F49" s="12" t="str">
        <x:v>Planned</x:v>
      </x:c>
    </x:row>
    <x:row r="50">
      <x:c r="A50" s="12" t="str">
        <x:v>P26-TST-049</x:v>
      </x:c>
      <x:c r="B50" s="12" t="str">
        <x:v>P26-REQ-049</x:v>
      </x:c>
      <x:c r="C50" s="12" t="str">
        <x:v>Audit &amp; Traceability</x:v>
      </x:c>
      <x:c r="D50" s="12" t="str">
        <x:v>Validate P26-REQ-049 using deterministic normal, boundary, invalid-unit, override, changed-library, and permission scenarios as applicable.</x:v>
      </x:c>
      <x:c r="E50" s="12" t="str">
        <x:v>Calculated outputs, units, lineage and approvals match the controlled formula/rule; invalid inputs and unauthorized overrides are blocked.</x:v>
      </x:c>
      <x:c r="F50" s="12" t="str">
        <x:v>Planned</x:v>
      </x:c>
    </x:row>
    <x:row r="51">
      <x:c r="A51" s="12" t="str">
        <x:v>P26-TST-050</x:v>
      </x:c>
      <x:c r="B51" s="12" t="str">
        <x:v>P26-REQ-050</x:v>
      </x:c>
      <x:c r="C51" s="12" t="str">
        <x:v>Estimate Lifecycle</x:v>
      </x:c>
      <x:c r="D51" s="12" t="str">
        <x:v>Validate P26-REQ-050 using deterministic normal, boundary, invalid-unit, override, changed-library, and permission scenarios as applicable.</x:v>
      </x:c>
      <x:c r="E51" s="12" t="str">
        <x:v>Calculated outputs, units, lineage and approvals match the controlled formula/rule; invalid inputs and unauthorized overrides are blocked.</x:v>
      </x:c>
      <x:c r="F51" s="12" t="str">
        <x:v>Planned</x:v>
      </x:c>
    </x:row>
    <x:row r="52">
      <x:c r="A52" s="12" t="str">
        <x:v>P26-TST-051</x:v>
      </x:c>
      <x:c r="B52" s="12" t="str">
        <x:v>P26-REQ-051</x:v>
      </x:c>
      <x:c r="C52" s="12" t="str">
        <x:v>Estimate Versions</x:v>
      </x:c>
      <x:c r="D52" s="12" t="str">
        <x:v>Validate P26-REQ-051 using deterministic normal, boundary, invalid-unit, override, changed-library, and permission scenarios as applicable.</x:v>
      </x:c>
      <x:c r="E52" s="12" t="str">
        <x:v>Calculated outputs, units, lineage and approvals match the controlled formula/rule; invalid inputs and unauthorized overrides are blocked.</x:v>
      </x:c>
      <x:c r="F52" s="12" t="str">
        <x:v>Planned</x:v>
      </x:c>
    </x:row>
    <x:row r="53">
      <x:c r="A53" s="12" t="str">
        <x:v>P26-TST-052</x:v>
      </x:c>
      <x:c r="B53" s="12" t="str">
        <x:v>P26-REQ-052</x:v>
      </x:c>
      <x:c r="C53" s="12" t="str">
        <x:v>Estimate Templates</x:v>
      </x:c>
      <x:c r="D53" s="12" t="str">
        <x:v>Validate P26-REQ-052 using deterministic normal, boundary, invalid-unit, override, changed-library, and permission scenarios as applicable.</x:v>
      </x:c>
      <x:c r="E53" s="12" t="str">
        <x:v>Calculated outputs, units, lineage and approvals match the controlled formula/rule; invalid inputs and unauthorized overrides are blocked.</x:v>
      </x:c>
      <x:c r="F53" s="12" t="str">
        <x:v>Planned</x:v>
      </x:c>
    </x:row>
    <x:row r="54">
      <x:c r="A54" s="12" t="str">
        <x:v>P26-TST-053</x:v>
      </x:c>
      <x:c r="B54" s="12" t="str">
        <x:v>P26-REQ-053</x:v>
      </x:c>
      <x:c r="C54" s="12" t="str">
        <x:v>Service Selection</x:v>
      </x:c>
      <x:c r="D54" s="12" t="str">
        <x:v>Validate P26-REQ-053 using deterministic normal, boundary, invalid-unit, override, changed-library, and permission scenarios as applicable.</x:v>
      </x:c>
      <x:c r="E54" s="12" t="str">
        <x:v>Calculated outputs, units, lineage and approvals match the controlled formula/rule; invalid inputs and unauthorized overrides are blocked.</x:v>
      </x:c>
      <x:c r="F54" s="12" t="str">
        <x:v>Planned</x:v>
      </x:c>
    </x:row>
    <x:row r="55">
      <x:c r="A55" s="12" t="str">
        <x:v>P26-TST-054</x:v>
      </x:c>
      <x:c r="B55" s="12" t="str">
        <x:v>P26-REQ-054</x:v>
      </x:c>
      <x:c r="C55" s="12" t="str">
        <x:v>Assembly Expansion</x:v>
      </x:c>
      <x:c r="D55" s="12" t="str">
        <x:v>Validate P26-REQ-054 using deterministic normal, boundary, invalid-unit, override, changed-library, and permission scenarios as applicable.</x:v>
      </x:c>
      <x:c r="E55" s="12" t="str">
        <x:v>Calculated outputs, units, lineage and approvals match the controlled formula/rule; invalid inputs and unauthorized overrides are blocked.</x:v>
      </x:c>
      <x:c r="F55" s="12" t="str">
        <x:v>Planned</x:v>
      </x:c>
    </x:row>
    <x:row r="56">
      <x:c r="A56" s="12" t="str">
        <x:v>P26-TST-055</x:v>
      </x:c>
      <x:c r="B56" s="12" t="str">
        <x:v>P26-REQ-055</x:v>
      </x:c>
      <x:c r="C56" s="12" t="str">
        <x:v>Quantity Input</x:v>
      </x:c>
      <x:c r="D56" s="12" t="str">
        <x:v>Validate P26-REQ-055 using deterministic normal, boundary, invalid-unit, override, changed-library, and permission scenarios as applicable.</x:v>
      </x:c>
      <x:c r="E56" s="12" t="str">
        <x:v>Calculated outputs, units, lineage and approvals match the controlled formula/rule; invalid inputs and unauthorized overrides are blocked.</x:v>
      </x:c>
      <x:c r="F56" s="12" t="str">
        <x:v>Planned</x:v>
      </x:c>
    </x:row>
    <x:row r="57">
      <x:c r="A57" s="12" t="str">
        <x:v>P26-TST-056</x:v>
      </x:c>
      <x:c r="B57" s="12" t="str">
        <x:v>P26-REQ-056</x:v>
      </x:c>
      <x:c r="C57" s="12" t="str">
        <x:v>Quantity Takeoff Intake</x:v>
      </x:c>
      <x:c r="D57" s="12" t="str">
        <x:v>Validate P26-REQ-056 using deterministic normal, boundary, invalid-unit, override, changed-library, and permission scenarios as applicable.</x:v>
      </x:c>
      <x:c r="E57" s="12" t="str">
        <x:v>Calculated outputs, units, lineage and approvals match the controlled formula/rule; invalid inputs and unauthorized overrides are blocked.</x:v>
      </x:c>
      <x:c r="F57" s="12" t="str">
        <x:v>Planned</x:v>
      </x:c>
    </x:row>
    <x:row r="58">
      <x:c r="A58" s="12" t="str">
        <x:v>P26-TST-057</x:v>
      </x:c>
      <x:c r="B58" s="12" t="str">
        <x:v>P26-REQ-057</x:v>
      </x:c>
      <x:c r="C58" s="12" t="str">
        <x:v>Labor Cost</x:v>
      </x:c>
      <x:c r="D58" s="12" t="str">
        <x:v>Validate P26-REQ-057 using deterministic normal, boundary, invalid-unit, override, changed-library, and permission scenarios as applicable.</x:v>
      </x:c>
      <x:c r="E58" s="12" t="str">
        <x:v>Calculated outputs, units, lineage and approvals match the controlled formula/rule; invalid inputs and unauthorized overrides are blocked.</x:v>
      </x:c>
      <x:c r="F58" s="12" t="str">
        <x:v>Planned</x:v>
      </x:c>
    </x:row>
    <x:row r="59">
      <x:c r="A59" s="12" t="str">
        <x:v>P26-TST-058</x:v>
      </x:c>
      <x:c r="B59" s="12" t="str">
        <x:v>P26-REQ-058</x:v>
      </x:c>
      <x:c r="C59" s="12" t="str">
        <x:v>Labor Burden</x:v>
      </x:c>
      <x:c r="D59" s="12" t="str">
        <x:v>Validate P26-REQ-058 using deterministic normal, boundary, invalid-unit, override, changed-library, and permission scenarios as applicable.</x:v>
      </x:c>
      <x:c r="E59" s="12" t="str">
        <x:v>Calculated outputs, units, lineage and approvals match the controlled formula/rule; invalid inputs and unauthorized overrides are blocked.</x:v>
      </x:c>
      <x:c r="F59" s="12" t="str">
        <x:v>Planned</x:v>
      </x:c>
    </x:row>
    <x:row r="60">
      <x:c r="A60" s="12" t="str">
        <x:v>P26-TST-059</x:v>
      </x:c>
      <x:c r="B60" s="12" t="str">
        <x:v>P26-REQ-059</x:v>
      </x:c>
      <x:c r="C60" s="12" t="str">
        <x:v>Crew Composition</x:v>
      </x:c>
      <x:c r="D60" s="12" t="str">
        <x:v>Validate P26-REQ-059 using deterministic normal, boundary, invalid-unit, override, changed-library, and permission scenarios as applicable.</x:v>
      </x:c>
      <x:c r="E60" s="12" t="str">
        <x:v>Calculated outputs, units, lineage and approvals match the controlled formula/rule; invalid inputs and unauthorized overrides are blocked.</x:v>
      </x:c>
      <x:c r="F60" s="12" t="str">
        <x:v>Planned</x:v>
      </x:c>
    </x:row>
    <x:row r="61">
      <x:c r="A61" s="12" t="str">
        <x:v>P26-TST-060</x:v>
      </x:c>
      <x:c r="B61" s="12" t="str">
        <x:v>P26-REQ-060</x:v>
      </x:c>
      <x:c r="C61" s="12" t="str">
        <x:v>Crew Size Recommendation</x:v>
      </x:c>
      <x:c r="D61" s="12" t="str">
        <x:v>Validate P26-REQ-060 using deterministic normal, boundary, invalid-unit, override, changed-library, and permission scenarios as applicable.</x:v>
      </x:c>
      <x:c r="E61" s="12" t="str">
        <x:v>Calculated outputs, units, lineage and approvals match the controlled formula/rule; invalid inputs and unauthorized overrides are blocked.</x:v>
      </x:c>
      <x:c r="F61" s="12" t="str">
        <x:v>Planned</x:v>
      </x:c>
    </x:row>
    <x:row r="62">
      <x:c r="A62" s="12" t="str">
        <x:v>P26-TST-061</x:v>
      </x:c>
      <x:c r="B62" s="12" t="str">
        <x:v>P26-REQ-061</x:v>
      </x:c>
      <x:c r="C62" s="12" t="str">
        <x:v>Equipment Selection</x:v>
      </x:c>
      <x:c r="D62" s="12" t="str">
        <x:v>Validate P26-REQ-061 using deterministic normal, boundary, invalid-unit, override, changed-library, and permission scenarios as applicable.</x:v>
      </x:c>
      <x:c r="E62" s="12" t="str">
        <x:v>Calculated outputs, units, lineage and approvals match the controlled formula/rule; invalid inputs and unauthorized overrides are blocked.</x:v>
      </x:c>
      <x:c r="F62" s="12" t="str">
        <x:v>Planned</x:v>
      </x:c>
    </x:row>
    <x:row r="63">
      <x:c r="A63" s="12" t="str">
        <x:v>P26-TST-062</x:v>
      </x:c>
      <x:c r="B63" s="12" t="str">
        <x:v>P26-REQ-062</x:v>
      </x:c>
      <x:c r="C63" s="12" t="str">
        <x:v>Equipment Cost</x:v>
      </x:c>
      <x:c r="D63" s="12" t="str">
        <x:v>Validate P26-REQ-062 using deterministic normal, boundary, invalid-unit, override, changed-library, and permission scenarios as applicable.</x:v>
      </x:c>
      <x:c r="E63" s="12" t="str">
        <x:v>Calculated outputs, units, lineage and approvals match the controlled formula/rule; invalid inputs and unauthorized overrides are blocked.</x:v>
      </x:c>
      <x:c r="F63" s="12" t="str">
        <x:v>Planned</x:v>
      </x:c>
    </x:row>
    <x:row r="64">
      <x:c r="A64" s="12" t="str">
        <x:v>P26-TST-063</x:v>
      </x:c>
      <x:c r="B64" s="12" t="str">
        <x:v>P26-REQ-063</x:v>
      </x:c>
      <x:c r="C64" s="12" t="str">
        <x:v>Equipment Rate Selection</x:v>
      </x:c>
      <x:c r="D64" s="12" t="str">
        <x:v>Validate P26-REQ-063 using deterministic normal, boundary, invalid-unit, override, changed-library, and permission scenarios as applicable.</x:v>
      </x:c>
      <x:c r="E64" s="12" t="str">
        <x:v>Calculated outputs, units, lineage and approvals match the controlled formula/rule; invalid inputs and unauthorized overrides are blocked.</x:v>
      </x:c>
      <x:c r="F64" s="12" t="str">
        <x:v>Planned</x:v>
      </x:c>
    </x:row>
    <x:row r="65">
      <x:c r="A65" s="12" t="str">
        <x:v>P26-TST-064</x:v>
      </x:c>
      <x:c r="B65" s="12" t="str">
        <x:v>P26-REQ-064</x:v>
      </x:c>
      <x:c r="C65" s="12" t="str">
        <x:v>Fuel Consumption</x:v>
      </x:c>
      <x:c r="D65" s="12" t="str">
        <x:v>Validate P26-REQ-064 using deterministic normal, boundary, invalid-unit, override, changed-library, and permission scenarios as applicable.</x:v>
      </x:c>
      <x:c r="E65" s="12" t="str">
        <x:v>Calculated outputs, units, lineage and approvals match the controlled formula/rule; invalid inputs and unauthorized overrides are blocked.</x:v>
      </x:c>
      <x:c r="F65" s="12" t="str">
        <x:v>Planned</x:v>
      </x:c>
    </x:row>
    <x:row r="66">
      <x:c r="A66" s="12" t="str">
        <x:v>P26-TST-065</x:v>
      </x:c>
      <x:c r="B66" s="12" t="str">
        <x:v>P26-REQ-065</x:v>
      </x:c>
      <x:c r="C66" s="12" t="str">
        <x:v>Truck Selection</x:v>
      </x:c>
      <x:c r="D66" s="12" t="str">
        <x:v>Validate P26-REQ-065 using deterministic normal, boundary, invalid-unit, override, changed-library, and permission scenarios as applicable.</x:v>
      </x:c>
      <x:c r="E66" s="12" t="str">
        <x:v>Calculated outputs, units, lineage and approvals match the controlled formula/rule; invalid inputs and unauthorized overrides are blocked.</x:v>
      </x:c>
      <x:c r="F66" s="12" t="str">
        <x:v>Planned</x:v>
      </x:c>
    </x:row>
    <x:row r="67">
      <x:c r="A67" s="12" t="str">
        <x:v>P26-TST-066</x:v>
      </x:c>
      <x:c r="B67" s="12" t="str">
        <x:v>P26-REQ-066</x:v>
      </x:c>
      <x:c r="C67" s="12" t="str">
        <x:v>Truck Cycle Calculation</x:v>
      </x:c>
      <x:c r="D67" s="12" t="str">
        <x:v>Validate P26-REQ-066 using deterministic normal, boundary, invalid-unit, override, changed-library, and permission scenarios as applicable.</x:v>
      </x:c>
      <x:c r="E67" s="12" t="str">
        <x:v>Calculated outputs, units, lineage and approvals match the controlled formula/rule; invalid inputs and unauthorized overrides are blocked.</x:v>
      </x:c>
      <x:c r="F67" s="12" t="str">
        <x:v>Planned</x:v>
      </x:c>
    </x:row>
    <x:row r="68">
      <x:c r="A68" s="12" t="str">
        <x:v>P26-TST-067</x:v>
      </x:c>
      <x:c r="B68" s="12" t="str">
        <x:v>P26-REQ-067</x:v>
      </x:c>
      <x:c r="C68" s="12" t="str">
        <x:v>Truck Count</x:v>
      </x:c>
      <x:c r="D68" s="12" t="str">
        <x:v>Validate P26-REQ-067 using deterministic normal, boundary, invalid-unit, override, changed-library, and permission scenarios as applicable.</x:v>
      </x:c>
      <x:c r="E68" s="12" t="str">
        <x:v>Calculated outputs, units, lineage and approvals match the controlled formula/rule; invalid inputs and unauthorized overrides are blocked.</x:v>
      </x:c>
      <x:c r="F68" s="12" t="str">
        <x:v>Planned</x:v>
      </x:c>
    </x:row>
    <x:row r="69">
      <x:c r="A69" s="12" t="str">
        <x:v>P26-TST-068</x:v>
      </x:c>
      <x:c r="B69" s="12" t="str">
        <x:v>P26-REQ-068</x:v>
      </x:c>
      <x:c r="C69" s="12" t="str">
        <x:v>Haul Distance</x:v>
      </x:c>
      <x:c r="D69" s="12" t="str">
        <x:v>Validate P26-REQ-068 using deterministic normal, boundary, invalid-unit, override, changed-library, and permission scenarios as applicable.</x:v>
      </x:c>
      <x:c r="E69" s="12" t="str">
        <x:v>Calculated outputs, units, lineage and approvals match the controlled formula/rule; invalid inputs and unauthorized overrides are blocked.</x:v>
      </x:c>
      <x:c r="F69" s="12" t="str">
        <x:v>Planned</x:v>
      </x:c>
    </x:row>
    <x:row r="70">
      <x:c r="A70" s="12" t="str">
        <x:v>P26-TST-069</x:v>
      </x:c>
      <x:c r="B70" s="12" t="str">
        <x:v>P26-REQ-069</x:v>
      </x:c>
      <x:c r="C70" s="12" t="str">
        <x:v>Disposal Cost</x:v>
      </x:c>
      <x:c r="D70" s="12" t="str">
        <x:v>Validate P26-REQ-069 using deterministic normal, boundary, invalid-unit, override, changed-library, and permission scenarios as applicable.</x:v>
      </x:c>
      <x:c r="E70" s="12" t="str">
        <x:v>Calculated outputs, units, lineage and approvals match the controlled formula/rule; invalid inputs and unauthorized overrides are blocked.</x:v>
      </x:c>
      <x:c r="F70" s="12" t="str">
        <x:v>Planned</x:v>
      </x:c>
    </x:row>
    <x:row r="71">
      <x:c r="A71" s="12" t="str">
        <x:v>P26-TST-070</x:v>
      </x:c>
      <x:c r="B71" s="12" t="str">
        <x:v>P26-REQ-070</x:v>
      </x:c>
      <x:c r="C71" s="12" t="str">
        <x:v>Material Cost</x:v>
      </x:c>
      <x:c r="D71" s="12" t="str">
        <x:v>Validate P26-REQ-070 using deterministic normal, boundary, invalid-unit, override, changed-library, and permission scenarios as applicable.</x:v>
      </x:c>
      <x:c r="E71" s="12" t="str">
        <x:v>Calculated outputs, units, lineage and approvals match the controlled formula/rule; invalid inputs and unauthorized overrides are blocked.</x:v>
      </x:c>
      <x:c r="F71" s="12" t="str">
        <x:v>Planned</x:v>
      </x:c>
    </x:row>
    <x:row r="72">
      <x:c r="A72" s="12" t="str">
        <x:v>P26-TST-071</x:v>
      </x:c>
      <x:c r="B72" s="12" t="str">
        <x:v>P26-REQ-071</x:v>
      </x:c>
      <x:c r="C72" s="12" t="str">
        <x:v>Material Waste</x:v>
      </x:c>
      <x:c r="D72" s="12" t="str">
        <x:v>Validate P26-REQ-071 using deterministic normal, boundary, invalid-unit, override, changed-library, and permission scenarios as applicable.</x:v>
      </x:c>
      <x:c r="E72" s="12" t="str">
        <x:v>Calculated outputs, units, lineage and approvals match the controlled formula/rule; invalid inputs and unauthorized overrides are blocked.</x:v>
      </x:c>
      <x:c r="F72" s="12" t="str">
        <x:v>Planned</x:v>
      </x:c>
    </x:row>
    <x:row r="73">
      <x:c r="A73" s="12" t="str">
        <x:v>P26-TST-072</x:v>
      </x:c>
      <x:c r="B73" s="12" t="str">
        <x:v>P26-REQ-072</x:v>
      </x:c>
      <x:c r="C73" s="12" t="str">
        <x:v>Subcontract Cost</x:v>
      </x:c>
      <x:c r="D73" s="12" t="str">
        <x:v>Validate P26-REQ-072 using deterministic normal, boundary, invalid-unit, override, changed-library, and permission scenarios as applicable.</x:v>
      </x:c>
      <x:c r="E73" s="12" t="str">
        <x:v>Calculated outputs, units, lineage and approvals match the controlled formula/rule; invalid inputs and unauthorized overrides are blocked.</x:v>
      </x:c>
      <x:c r="F73" s="12" t="str">
        <x:v>Planned</x:v>
      </x:c>
    </x:row>
    <x:row r="74">
      <x:c r="A74" s="12" t="str">
        <x:v>P26-TST-073</x:v>
      </x:c>
      <x:c r="B74" s="12" t="str">
        <x:v>P26-REQ-073</x:v>
      </x:c>
      <x:c r="C74" s="12" t="str">
        <x:v>Production Rate</x:v>
      </x:c>
      <x:c r="D74" s="12" t="str">
        <x:v>Validate P26-REQ-073 using deterministic normal, boundary, invalid-unit, override, changed-library, and permission scenarios as applicable.</x:v>
      </x:c>
      <x:c r="E74" s="12" t="str">
        <x:v>Calculated outputs, units, lineage and approvals match the controlled formula/rule; invalid inputs and unauthorized overrides are blocked.</x:v>
      </x:c>
      <x:c r="F74" s="12" t="str">
        <x:v>Planned</x:v>
      </x:c>
    </x:row>
    <x:row r="75">
      <x:c r="A75" s="12" t="str">
        <x:v>P26-TST-074</x:v>
      </x:c>
      <x:c r="B75" s="12" t="str">
        <x:v>P26-REQ-074</x:v>
      </x:c>
      <x:c r="C75" s="12" t="str">
        <x:v>Production Modifiers</x:v>
      </x:c>
      <x:c r="D75" s="12" t="str">
        <x:v>Validate P26-REQ-074 using deterministic normal, boundary, invalid-unit, override, changed-library, and permission scenarios as applicable.</x:v>
      </x:c>
      <x:c r="E75" s="12" t="str">
        <x:v>Calculated outputs, units, lineage and approvals match the controlled formula/rule; invalid inputs and unauthorized overrides are blocked.</x:v>
      </x:c>
      <x:c r="F75" s="12" t="str">
        <x:v>Planned</x:v>
      </x:c>
    </x:row>
    <x:row r="76">
      <x:c r="A76" s="12" t="str">
        <x:v>P26-TST-075</x:v>
      </x:c>
      <x:c r="B76" s="12" t="str">
        <x:v>P26-REQ-075</x:v>
      </x:c>
      <x:c r="C76" s="12" t="str">
        <x:v>Duration Calculation</x:v>
      </x:c>
      <x:c r="D76" s="12" t="str">
        <x:v>Validate P26-REQ-075 using deterministic normal, boundary, invalid-unit, override, changed-library, and permission scenarios as applicable.</x:v>
      </x:c>
      <x:c r="E76" s="12" t="str">
        <x:v>Calculated outputs, units, lineage and approvals match the controlled formula/rule; invalid inputs and unauthorized overrides are blocked.</x:v>
      </x:c>
      <x:c r="F76" s="12" t="str">
        <x:v>Planned</x:v>
      </x:c>
    </x:row>
    <x:row r="77">
      <x:c r="A77" s="12" t="str">
        <x:v>P26-TST-076</x:v>
      </x:c>
      <x:c r="B77" s="12" t="str">
        <x:v>P26-REQ-076</x:v>
      </x:c>
      <x:c r="C77" s="12" t="str">
        <x:v>Work Hours &amp; Shifts</x:v>
      </x:c>
      <x:c r="D77" s="12" t="str">
        <x:v>Validate P26-REQ-076 using deterministic normal, boundary, invalid-unit, override, changed-library, and permission scenarios as applicable.</x:v>
      </x:c>
      <x:c r="E77" s="12" t="str">
        <x:v>Calculated outputs, units, lineage and approvals match the controlled formula/rule; invalid inputs and unauthorized overrides are blocked.</x:v>
      </x:c>
      <x:c r="F77" s="12" t="str">
        <x:v>Planned</x:v>
      </x:c>
    </x:row>
    <x:row r="78">
      <x:c r="A78" s="12" t="str">
        <x:v>P26-TST-077</x:v>
      </x:c>
      <x:c r="B78" s="12" t="str">
        <x:v>P26-REQ-077</x:v>
      </x:c>
      <x:c r="C78" s="12" t="str">
        <x:v>Mobilization</x:v>
      </x:c>
      <x:c r="D78" s="12" t="str">
        <x:v>Validate P26-REQ-077 using deterministic normal, boundary, invalid-unit, override, changed-library, and permission scenarios as applicable.</x:v>
      </x:c>
      <x:c r="E78" s="12" t="str">
        <x:v>Calculated outputs, units, lineage and approvals match the controlled formula/rule; invalid inputs and unauthorized overrides are blocked.</x:v>
      </x:c>
      <x:c r="F78" s="12" t="str">
        <x:v>Planned</x:v>
      </x:c>
    </x:row>
    <x:row r="79">
      <x:c r="A79" s="12" t="str">
        <x:v>P26-TST-078</x:v>
      </x:c>
      <x:c r="B79" s="12" t="str">
        <x:v>P26-REQ-078</x:v>
      </x:c>
      <x:c r="C79" s="12" t="str">
        <x:v>Demobilization</x:v>
      </x:c>
      <x:c r="D79" s="12" t="str">
        <x:v>Validate P26-REQ-078 using deterministic normal, boundary, invalid-unit, override, changed-library, and permission scenarios as applicable.</x:v>
      </x:c>
      <x:c r="E79" s="12" t="str">
        <x:v>Calculated outputs, units, lineage and approvals match the controlled formula/rule; invalid inputs and unauthorized overrides are blocked.</x:v>
      </x:c>
      <x:c r="F79" s="12" t="str">
        <x:v>Planned</x:v>
      </x:c>
    </x:row>
    <x:row r="80">
      <x:c r="A80" s="12" t="str">
        <x:v>P26-TST-079</x:v>
      </x:c>
      <x:c r="B80" s="12" t="str">
        <x:v>P26-REQ-079</x:v>
      </x:c>
      <x:c r="C80" s="12" t="str">
        <x:v>Indirect Costs</x:v>
      </x:c>
      <x:c r="D80" s="12" t="str">
        <x:v>Validate P26-REQ-079 using deterministic normal, boundary, invalid-unit, override, changed-library, and permission scenarios as applicable.</x:v>
      </x:c>
      <x:c r="E80" s="12" t="str">
        <x:v>Calculated outputs, units, lineage and approvals match the controlled formula/rule; invalid inputs and unauthorized overrides are blocked.</x:v>
      </x:c>
      <x:c r="F80" s="12" t="str">
        <x:v>Planned</x:v>
      </x:c>
    </x:row>
    <x:row r="81">
      <x:c r="A81" s="12" t="str">
        <x:v>P26-TST-080</x:v>
      </x:c>
      <x:c r="B81" s="12" t="str">
        <x:v>P26-REQ-080</x:v>
      </x:c>
      <x:c r="C81" s="12" t="str">
        <x:v>Contingency</x:v>
      </x:c>
      <x:c r="D81" s="12" t="str">
        <x:v>Validate P26-REQ-080 using deterministic normal, boundary, invalid-unit, override, changed-library, and permission scenarios as applicable.</x:v>
      </x:c>
      <x:c r="E81" s="12" t="str">
        <x:v>Calculated outputs, units, lineage and approvals match the controlled formula/rule; invalid inputs and unauthorized overrides are blocked.</x:v>
      </x:c>
      <x:c r="F81" s="12" t="str">
        <x:v>Planned</x:v>
      </x:c>
    </x:row>
    <x:row r="82">
      <x:c r="A82" s="12" t="str">
        <x:v>P26-TST-081</x:v>
      </x:c>
      <x:c r="B82" s="12" t="str">
        <x:v>P26-REQ-081</x:v>
      </x:c>
      <x:c r="C82" s="12" t="str">
        <x:v>Markup</x:v>
      </x:c>
      <x:c r="D82" s="12" t="str">
        <x:v>Validate P26-REQ-081 using deterministic normal, boundary, invalid-unit, override, changed-library, and permission scenarios as applicable.</x:v>
      </x:c>
      <x:c r="E82" s="12" t="str">
        <x:v>Calculated outputs, units, lineage and approvals match the controlled formula/rule; invalid inputs and unauthorized overrides are blocked.</x:v>
      </x:c>
      <x:c r="F82" s="12" t="str">
        <x:v>Planned</x:v>
      </x:c>
    </x:row>
    <x:row r="83">
      <x:c r="A83" s="12" t="str">
        <x:v>P26-TST-082</x:v>
      </x:c>
      <x:c r="B83" s="12" t="str">
        <x:v>P26-REQ-082</x:v>
      </x:c>
      <x:c r="C83" s="12" t="str">
        <x:v>Overhead &amp; Profit</x:v>
      </x:c>
      <x:c r="D83" s="12" t="str">
        <x:v>Validate P26-REQ-082 using deterministic normal, boundary, invalid-unit, override, changed-library, and permission scenarios as applicable.</x:v>
      </x:c>
      <x:c r="E83" s="12" t="str">
        <x:v>Calculated outputs, units, lineage and approvals match the controlled formula/rule; invalid inputs and unauthorized overrides are blocked.</x:v>
      </x:c>
      <x:c r="F83" s="12" t="str">
        <x:v>Planned</x:v>
      </x:c>
    </x:row>
    <x:row r="84">
      <x:c r="A84" s="12" t="str">
        <x:v>P26-TST-083</x:v>
      </x:c>
      <x:c r="B84" s="12" t="str">
        <x:v>P26-REQ-083</x:v>
      </x:c>
      <x:c r="C84" s="12" t="str">
        <x:v>Tax &amp; Bond</x:v>
      </x:c>
      <x:c r="D84" s="12" t="str">
        <x:v>Validate P26-REQ-083 using deterministic normal, boundary, invalid-unit, override, changed-library, and permission scenarios as applicable.</x:v>
      </x:c>
      <x:c r="E84" s="12" t="str">
        <x:v>Calculated outputs, units, lineage and approvals match the controlled formula/rule; invalid inputs and unauthorized overrides are blocked.</x:v>
      </x:c>
      <x:c r="F84" s="12" t="str">
        <x:v>Planned</x:v>
      </x:c>
    </x:row>
    <x:row r="85">
      <x:c r="A85" s="12" t="str">
        <x:v>P26-TST-084</x:v>
      </x:c>
      <x:c r="B85" s="12" t="str">
        <x:v>P26-REQ-084</x:v>
      </x:c>
      <x:c r="C85" s="12" t="str">
        <x:v>Unit Price</x:v>
      </x:c>
      <x:c r="D85" s="12" t="str">
        <x:v>Validate P26-REQ-084 using deterministic normal, boundary, invalid-unit, override, changed-library, and permission scenarios as applicable.</x:v>
      </x:c>
      <x:c r="E85" s="12" t="str">
        <x:v>Calculated outputs, units, lineage and approvals match the controlled formula/rule; invalid inputs and unauthorized overrides are blocked.</x:v>
      </x:c>
      <x:c r="F85" s="12" t="str">
        <x:v>Planned</x:v>
      </x:c>
    </x:row>
    <x:row r="86">
      <x:c r="A86" s="12" t="str">
        <x:v>P26-TST-085</x:v>
      </x:c>
      <x:c r="B86" s="12" t="str">
        <x:v>P26-REQ-085</x:v>
      </x:c>
      <x:c r="C86" s="12" t="str">
        <x:v>Bid Price</x:v>
      </x:c>
      <x:c r="D86" s="12" t="str">
        <x:v>Validate P26-REQ-085 using deterministic normal, boundary, invalid-unit, override, changed-library, and permission scenarios as applicable.</x:v>
      </x:c>
      <x:c r="E86" s="12" t="str">
        <x:v>Calculated outputs, units, lineage and approvals match the controlled formula/rule; invalid inputs and unauthorized overrides are blocked.</x:v>
      </x:c>
      <x:c r="F86" s="12" t="str">
        <x:v>Planned</x:v>
      </x:c>
    </x:row>
    <x:row r="87">
      <x:c r="A87" s="12" t="str">
        <x:v>P26-TST-086</x:v>
      </x:c>
      <x:c r="B87" s="12" t="str">
        <x:v>P26-REQ-086</x:v>
      </x:c>
      <x:c r="C87" s="12" t="str">
        <x:v>Low/High Range</x:v>
      </x:c>
      <x:c r="D87" s="12" t="str">
        <x:v>Validate P26-REQ-086 using deterministic normal, boundary, invalid-unit, override, changed-library, and permission scenarios as applicable.</x:v>
      </x:c>
      <x:c r="E87" s="12" t="str">
        <x:v>Calculated outputs, units, lineage and approvals match the controlled formula/rule; invalid inputs and unauthorized overrides are blocked.</x:v>
      </x:c>
      <x:c r="F87" s="12" t="str">
        <x:v>Planned</x:v>
      </x:c>
    </x:row>
    <x:row r="88">
      <x:c r="A88" s="12" t="str">
        <x:v>P26-TST-087</x:v>
      </x:c>
      <x:c r="B88" s="12" t="str">
        <x:v>P26-REQ-087</x:v>
      </x:c>
      <x:c r="C88" s="12" t="str">
        <x:v>Scenario Comparison</x:v>
      </x:c>
      <x:c r="D88" s="12" t="str">
        <x:v>Validate P26-REQ-087 using deterministic normal, boundary, invalid-unit, override, changed-library, and permission scenarios as applicable.</x:v>
      </x:c>
      <x:c r="E88" s="12" t="str">
        <x:v>Calculated outputs, units, lineage and approvals match the controlled formula/rule; invalid inputs and unauthorized overrides are blocked.</x:v>
      </x:c>
      <x:c r="F88" s="12" t="str">
        <x:v>Planned</x:v>
      </x:c>
    </x:row>
    <x:row r="89">
      <x:c r="A89" s="12" t="str">
        <x:v>P26-TST-088</x:v>
      </x:c>
      <x:c r="B89" s="12" t="str">
        <x:v>P26-REQ-088</x:v>
      </x:c>
      <x:c r="C89" s="12" t="str">
        <x:v>Estimate Confidence</x:v>
      </x:c>
      <x:c r="D89" s="12" t="str">
        <x:v>Validate P26-REQ-088 using deterministic normal, boundary, invalid-unit, override, changed-library, and permission scenarios as applicable.</x:v>
      </x:c>
      <x:c r="E89" s="12" t="str">
        <x:v>Calculated outputs, units, lineage and approvals match the controlled formula/rule; invalid inputs and unauthorized overrides are blocked.</x:v>
      </x:c>
      <x:c r="F89" s="12" t="str">
        <x:v>Planned</x:v>
      </x:c>
    </x:row>
    <x:row r="90">
      <x:c r="A90" s="12" t="str">
        <x:v>P26-TST-089</x:v>
      </x:c>
      <x:c r="B90" s="12" t="str">
        <x:v>P26-REQ-089</x:v>
      </x:c>
      <x:c r="C90" s="12" t="str">
        <x:v>Regional Pricing</x:v>
      </x:c>
      <x:c r="D90" s="12" t="str">
        <x:v>Validate P26-REQ-089 using deterministic normal, boundary, invalid-unit, override, changed-library, and permission scenarios as applicable.</x:v>
      </x:c>
      <x:c r="E90" s="12" t="str">
        <x:v>Calculated outputs, units, lineage and approvals match the controlled formula/rule; invalid inputs and unauthorized overrides are blocked.</x:v>
      </x:c>
      <x:c r="F90" s="12" t="str">
        <x:v>Planned</x:v>
      </x:c>
    </x:row>
    <x:row r="91">
      <x:c r="A91" s="12" t="str">
        <x:v>P26-TST-090</x:v>
      </x:c>
      <x:c r="B91" s="12" t="str">
        <x:v>P26-REQ-090</x:v>
      </x:c>
      <x:c r="C91" s="12" t="str">
        <x:v>Vendor Quote Override</x:v>
      </x:c>
      <x:c r="D91" s="12" t="str">
        <x:v>Validate P26-REQ-090 using deterministic normal, boundary, invalid-unit, override, changed-library, and permission scenarios as applicable.</x:v>
      </x:c>
      <x:c r="E91" s="12" t="str">
        <x:v>Calculated outputs, units, lineage and approvals match the controlled formula/rule; invalid inputs and unauthorized overrides are blocked.</x:v>
      </x:c>
      <x:c r="F91" s="12" t="str">
        <x:v>Planned</x:v>
      </x:c>
    </x:row>
    <x:row r="92">
      <x:c r="A92" s="12" t="str">
        <x:v>P26-TST-091</x:v>
      </x:c>
      <x:c r="B92" s="12" t="str">
        <x:v>P26-REQ-091</x:v>
      </x:c>
      <x:c r="C92" s="12" t="str">
        <x:v>Snapshot Reproducibility</x:v>
      </x:c>
      <x:c r="D92" s="12" t="str">
        <x:v>Validate P26-REQ-091 using deterministic normal, boundary, invalid-unit, override, changed-library, and permission scenarios as applicable.</x:v>
      </x:c>
      <x:c r="E92" s="12" t="str">
        <x:v>Calculated outputs, units, lineage and approvals match the controlled formula/rule; invalid inputs and unauthorized overrides are blocked.</x:v>
      </x:c>
      <x:c r="F92" s="12" t="str">
        <x:v>Planned</x:v>
      </x:c>
    </x:row>
    <x:row r="93">
      <x:c r="A93" s="12" t="str">
        <x:v>P26-TST-092</x:v>
      </x:c>
      <x:c r="B93" s="12" t="str">
        <x:v>P26-REQ-092</x:v>
      </x:c>
      <x:c r="C93" s="12" t="str">
        <x:v>Service Catalog Writeback</x:v>
      </x:c>
      <x:c r="D93" s="12" t="str">
        <x:v>Validate P26-REQ-092 using deterministic normal, boundary, invalid-unit, override, changed-library, and permission scenarios as applicable.</x:v>
      </x:c>
      <x:c r="E93" s="12" t="str">
        <x:v>Calculated outputs, units, lineage and approvals match the controlled formula/rule; invalid inputs and unauthorized overrides are blocked.</x:v>
      </x:c>
      <x:c r="F93" s="12" t="str">
        <x:v>Planned</x:v>
      </x:c>
    </x:row>
    <x:row r="94">
      <x:c r="A94" s="12" t="str">
        <x:v>P26-TST-093</x:v>
      </x:c>
      <x:c r="B94" s="12" t="str">
        <x:v>P26-REQ-093</x:v>
      </x:c>
      <x:c r="C94" s="12" t="str">
        <x:v>AI Estimate Assist</x:v>
      </x:c>
      <x:c r="D94" s="12" t="str">
        <x:v>Validate P26-REQ-093 using deterministic normal, boundary, invalid-unit, override, changed-library, and permission scenarios as applicable.</x:v>
      </x:c>
      <x:c r="E94" s="12" t="str">
        <x:v>Calculated outputs, units, lineage and approvals match the controlled formula/rule; invalid inputs and unauthorized overrides are blocked.</x:v>
      </x:c>
      <x:c r="F94" s="12" t="str">
        <x:v>Planned</x:v>
      </x:c>
    </x:row>
    <x:row r="95">
      <x:c r="A95" s="12" t="str">
        <x:v>P26-TST-094</x:v>
      </x:c>
      <x:c r="B95" s="12" t="str">
        <x:v>P26-REQ-094</x:v>
      </x:c>
      <x:c r="C95" s="12" t="str">
        <x:v>Estimate Review &amp; Approval</x:v>
      </x:c>
      <x:c r="D95" s="12" t="str">
        <x:v>Validate P26-REQ-094 using deterministic normal, boundary, invalid-unit, override, changed-library, and permission scenarios as applicable.</x:v>
      </x:c>
      <x:c r="E95" s="12" t="str">
        <x:v>Calculated outputs, units, lineage and approvals match the controlled formula/rule; invalid inputs and unauthorized overrides are blocked.</x:v>
      </x:c>
      <x:c r="F95" s="12" t="str">
        <x:v>Planned</x:v>
      </x:c>
    </x:row>
    <x:row r="96">
      <x:c r="A96" s="12" t="str">
        <x:v>P26-TST-095</x:v>
      </x:c>
      <x:c r="B96" s="12" t="str">
        <x:v>P26-REQ-095</x:v>
      </x:c>
      <x:c r="C96" s="12" t="str">
        <x:v>Estimate Export</x:v>
      </x:c>
      <x:c r="D96" s="12" t="str">
        <x:v>Validate P26-REQ-095 using deterministic normal, boundary, invalid-unit, override, changed-library, and permission scenarios as applicable.</x:v>
      </x:c>
      <x:c r="E96" s="12" t="str">
        <x:v>Calculated outputs, units, lineage and approvals match the controlled formula/rule; invalid inputs and unauthorized overrides are blocked.</x:v>
      </x:c>
      <x:c r="F96" s="12" t="str">
        <x:v>Planned</x:v>
      </x:c>
    </x:row>
    <x:row r="97">
      <x:c r="A97" s="12" t="str">
        <x:v>P26-TST-096</x:v>
      </x:c>
      <x:c r="B97" s="12" t="str">
        <x:v>P26-REQ-096</x:v>
      </x:c>
      <x:c r="C97" s="12" t="str">
        <x:v>Proposal Handoff</x:v>
      </x:c>
      <x:c r="D97" s="12" t="str">
        <x:v>Validate P26-REQ-096 using deterministic normal, boundary, invalid-unit, override, changed-library, and permission scenarios as applicable.</x:v>
      </x:c>
      <x:c r="E97" s="12" t="str">
        <x:v>Calculated outputs, units, lineage and approvals match the controlled formula/rule; invalid inputs and unauthorized overrides are blocked.</x:v>
      </x:c>
      <x:c r="F97" s="12" t="str">
        <x:v>Planned</x:v>
      </x:c>
    </x:row>
    <x:row r="98">
      <x:c r="A98" s="12" t="str">
        <x:v>P26-TST-097</x:v>
      </x:c>
      <x:c r="B98" s="12" t="str">
        <x:v>P26-REQ-097</x:v>
      </x:c>
      <x:c r="C98" s="12" t="str">
        <x:v>Job Cost Baseline</x:v>
      </x:c>
      <x:c r="D98" s="12" t="str">
        <x:v>Validate P26-REQ-097 using deterministic normal, boundary, invalid-unit, override, changed-library, and permission scenarios as applicable.</x:v>
      </x:c>
      <x:c r="E98" s="12" t="str">
        <x:v>Calculated outputs, units, lineage and approvals match the controlled formula/rule; invalid inputs and unauthorized overrides are blocked.</x:v>
      </x:c>
      <x:c r="F98" s="12" t="str">
        <x:v>Planned</x:v>
      </x:c>
    </x:row>
    <x:row r="99">
      <x:c r="A99" s="12" t="str">
        <x:v>P26-TST-098</x:v>
      </x:c>
      <x:c r="B99" s="12" t="str">
        <x:v>P26-REQ-098</x:v>
      </x:c>
      <x:c r="C99" s="12" t="str">
        <x:v>Audit &amp; Traceability</x:v>
      </x:c>
      <x:c r="D99" s="12" t="str">
        <x:v>Validate P26-REQ-098 using deterministic normal, boundary, invalid-unit, override, changed-library, and permission scenarios as applicable.</x:v>
      </x:c>
      <x:c r="E99" s="12" t="str">
        <x:v>Calculated outputs, units, lineage and approvals match the controlled formula/rule; invalid inputs and unauthorized overrides are blocked.</x:v>
      </x:c>
      <x:c r="F99" s="12" t="str">
        <x:v>Planned</x:v>
      </x:c>
    </x:row>
    <x:row r="100">
      <x:c r="A100" s="12" t="str">
        <x:v>P26-TST-099</x:v>
      </x:c>
      <x:c r="B100" s="12" t="str">
        <x:v>P26-REQ-099</x:v>
      </x:c>
      <x:c r="C100" s="12" t="str">
        <x:v>Estimate Lifecycle</x:v>
      </x:c>
      <x:c r="D100" s="12" t="str">
        <x:v>Validate P26-REQ-099 using deterministic normal, boundary, invalid-unit, override, changed-library, and permission scenarios as applicable.</x:v>
      </x:c>
      <x:c r="E100" s="12" t="str">
        <x:v>Calculated outputs, units, lineage and approvals match the controlled formula/rule; invalid inputs and unauthorized overrides are blocked.</x:v>
      </x:c>
      <x:c r="F100" s="12" t="str">
        <x:v>Planned</x:v>
      </x:c>
    </x:row>
    <x:row r="101">
      <x:c r="A101" s="12" t="str">
        <x:v>P26-TST-100</x:v>
      </x:c>
      <x:c r="B101" s="12" t="str">
        <x:v>P26-REQ-100</x:v>
      </x:c>
      <x:c r="C101" s="12" t="str">
        <x:v>Estimate Versions</x:v>
      </x:c>
      <x:c r="D101" s="12" t="str">
        <x:v>Validate P26-REQ-100 using deterministic normal, boundary, invalid-unit, override, changed-library, and permission scenarios as applicable.</x:v>
      </x:c>
      <x:c r="E101" s="12" t="str">
        <x:v>Calculated outputs, units, lineage and approvals match the controlled formula/rule; invalid inputs and unauthorized overrides are blocked.</x:v>
      </x:c>
      <x:c r="F101" s="12" t="str">
        <x:v>Planned</x:v>
      </x:c>
    </x:row>
    <x:row r="102">
      <x:c r="A102" s="12" t="str">
        <x:v>P26-TST-101</x:v>
      </x:c>
      <x:c r="B102" s="12" t="str">
        <x:v>P26-REQ-101</x:v>
      </x:c>
      <x:c r="C102" s="12" t="str">
        <x:v>Estimate Templates</x:v>
      </x:c>
      <x:c r="D102" s="12" t="str">
        <x:v>Validate P26-REQ-101 using deterministic normal, boundary, invalid-unit, override, changed-library, and permission scenarios as applicable.</x:v>
      </x:c>
      <x:c r="E102" s="12" t="str">
        <x:v>Calculated outputs, units, lineage and approvals match the controlled formula/rule; invalid inputs and unauthorized overrides are blocked.</x:v>
      </x:c>
      <x:c r="F102" s="12" t="str">
        <x:v>Planned</x:v>
      </x:c>
    </x:row>
    <x:row r="103">
      <x:c r="A103" s="12" t="str">
        <x:v>P26-TST-102</x:v>
      </x:c>
      <x:c r="B103" s="12" t="str">
        <x:v>P26-REQ-102</x:v>
      </x:c>
      <x:c r="C103" s="12" t="str">
        <x:v>Service Selection</x:v>
      </x:c>
      <x:c r="D103" s="12" t="str">
        <x:v>Validate P26-REQ-102 using deterministic normal, boundary, invalid-unit, override, changed-library, and permission scenarios as applicable.</x:v>
      </x:c>
      <x:c r="E103" s="12" t="str">
        <x:v>Calculated outputs, units, lineage and approvals match the controlled formula/rule; invalid inputs and unauthorized overrides are blocked.</x:v>
      </x:c>
      <x:c r="F103" s="12" t="str">
        <x:v>Planned</x:v>
      </x:c>
    </x:row>
    <x:row r="104">
      <x:c r="A104" s="12" t="str">
        <x:v>P26-TST-103</x:v>
      </x:c>
      <x:c r="B104" s="12" t="str">
        <x:v>P26-REQ-103</x:v>
      </x:c>
      <x:c r="C104" s="12" t="str">
        <x:v>Assembly Expansion</x:v>
      </x:c>
      <x:c r="D104" s="12" t="str">
        <x:v>Validate P26-REQ-103 using deterministic normal, boundary, invalid-unit, override, changed-library, and permission scenarios as applicable.</x:v>
      </x:c>
      <x:c r="E104" s="12" t="str">
        <x:v>Calculated outputs, units, lineage and approvals match the controlled formula/rule; invalid inputs and unauthorized overrides are blocked.</x:v>
      </x:c>
      <x:c r="F104" s="12" t="str">
        <x:v>Planned</x:v>
      </x:c>
    </x:row>
    <x:row r="105">
      <x:c r="A105" s="12" t="str">
        <x:v>P26-TST-104</x:v>
      </x:c>
      <x:c r="B105" s="12" t="str">
        <x:v>P26-REQ-104</x:v>
      </x:c>
      <x:c r="C105" s="12" t="str">
        <x:v>Quantity Input</x:v>
      </x:c>
      <x:c r="D105" s="12" t="str">
        <x:v>Validate P26-REQ-104 using deterministic normal, boundary, invalid-unit, override, changed-library, and permission scenarios as applicable.</x:v>
      </x:c>
      <x:c r="E105" s="12" t="str">
        <x:v>Calculated outputs, units, lineage and approvals match the controlled formula/rule; invalid inputs and unauthorized overrides are blocked.</x:v>
      </x:c>
      <x:c r="F105" s="12" t="str">
        <x:v>Planned</x:v>
      </x:c>
    </x:row>
    <x:row r="106">
      <x:c r="A106" s="12" t="str">
        <x:v>P26-TST-105</x:v>
      </x:c>
      <x:c r="B106" s="12" t="str">
        <x:v>P26-REQ-105</x:v>
      </x:c>
      <x:c r="C106" s="12" t="str">
        <x:v>Quantity Takeoff Intake</x:v>
      </x:c>
      <x:c r="D106" s="12" t="str">
        <x:v>Validate P26-REQ-105 using deterministic normal, boundary, invalid-unit, override, changed-library, and permission scenarios as applicable.</x:v>
      </x:c>
      <x:c r="E106" s="12" t="str">
        <x:v>Calculated outputs, units, lineage and approvals match the controlled formula/rule; invalid inputs and unauthorized overrides are blocked.</x:v>
      </x:c>
      <x:c r="F106" s="12" t="str">
        <x:v>Planned</x:v>
      </x:c>
    </x:row>
    <x:row r="107">
      <x:c r="A107" s="12" t="str">
        <x:v>P26-TST-106</x:v>
      </x:c>
      <x:c r="B107" s="12" t="str">
        <x:v>P26-REQ-106</x:v>
      </x:c>
      <x:c r="C107" s="12" t="str">
        <x:v>Labor Cost</x:v>
      </x:c>
      <x:c r="D107" s="12" t="str">
        <x:v>Validate P26-REQ-106 using deterministic normal, boundary, invalid-unit, override, changed-library, and permission scenarios as applicable.</x:v>
      </x:c>
      <x:c r="E107" s="12" t="str">
        <x:v>Calculated outputs, units, lineage and approvals match the controlled formula/rule; invalid inputs and unauthorized overrides are blocked.</x:v>
      </x:c>
      <x:c r="F107" s="12" t="str">
        <x:v>Planned</x:v>
      </x:c>
    </x:row>
    <x:row r="108">
      <x:c r="A108" s="12" t="str">
        <x:v>P26-TST-107</x:v>
      </x:c>
      <x:c r="B108" s="12" t="str">
        <x:v>P26-REQ-107</x:v>
      </x:c>
      <x:c r="C108" s="12" t="str">
        <x:v>Labor Burden</x:v>
      </x:c>
      <x:c r="D108" s="12" t="str">
        <x:v>Validate P26-REQ-107 using deterministic normal, boundary, invalid-unit, override, changed-library, and permission scenarios as applicable.</x:v>
      </x:c>
      <x:c r="E108" s="12" t="str">
        <x:v>Calculated outputs, units, lineage and approvals match the controlled formula/rule; invalid inputs and unauthorized overrides are blocked.</x:v>
      </x:c>
      <x:c r="F108" s="12" t="str">
        <x:v>Planned</x:v>
      </x:c>
    </x:row>
    <x:row r="109">
      <x:c r="A109" s="12" t="str">
        <x:v>P26-TST-108</x:v>
      </x:c>
      <x:c r="B109" s="12" t="str">
        <x:v>P26-REQ-108</x:v>
      </x:c>
      <x:c r="C109" s="12" t="str">
        <x:v>Crew Composition</x:v>
      </x:c>
      <x:c r="D109" s="12" t="str">
        <x:v>Validate P26-REQ-108 using deterministic normal, boundary, invalid-unit, override, changed-library, and permission scenarios as applicable.</x:v>
      </x:c>
      <x:c r="E109" s="12" t="str">
        <x:v>Calculated outputs, units, lineage and approvals match the controlled formula/rule; invalid inputs and unauthorized overrides are blocked.</x:v>
      </x:c>
      <x:c r="F109" s="12" t="str">
        <x:v>Planned</x:v>
      </x:c>
    </x:row>
    <x:row r="110">
      <x:c r="A110" s="12" t="str">
        <x:v>P26-TST-109</x:v>
      </x:c>
      <x:c r="B110" s="12" t="str">
        <x:v>P26-REQ-109</x:v>
      </x:c>
      <x:c r="C110" s="12" t="str">
        <x:v>Crew Size Recommendation</x:v>
      </x:c>
      <x:c r="D110" s="12" t="str">
        <x:v>Validate P26-REQ-109 using deterministic normal, boundary, invalid-unit, override, changed-library, and permission scenarios as applicable.</x:v>
      </x:c>
      <x:c r="E110" s="12" t="str">
        <x:v>Calculated outputs, units, lineage and approvals match the controlled formula/rule; invalid inputs and unauthorized overrides are blocked.</x:v>
      </x:c>
      <x:c r="F110" s="12" t="str">
        <x:v>Planned</x:v>
      </x:c>
    </x:row>
    <x:row r="111">
      <x:c r="A111" s="12" t="str">
        <x:v>P26-TST-110</x:v>
      </x:c>
      <x:c r="B111" s="12" t="str">
        <x:v>P26-REQ-110</x:v>
      </x:c>
      <x:c r="C111" s="12" t="str">
        <x:v>Equipment Selection</x:v>
      </x:c>
      <x:c r="D111" s="12" t="str">
        <x:v>Validate P26-REQ-110 using deterministic normal, boundary, invalid-unit, override, changed-library, and permission scenarios as applicable.</x:v>
      </x:c>
      <x:c r="E111" s="12" t="str">
        <x:v>Calculated outputs, units, lineage and approvals match the controlled formula/rule; invalid inputs and unauthorized overrides are blocked.</x:v>
      </x:c>
      <x:c r="F111" s="12" t="str">
        <x:v>Planned</x:v>
      </x:c>
    </x:row>
    <x:row r="112">
      <x:c r="A112" s="12" t="str">
        <x:v>P26-TST-111</x:v>
      </x:c>
      <x:c r="B112" s="12" t="str">
        <x:v>P26-REQ-111</x:v>
      </x:c>
      <x:c r="C112" s="12" t="str">
        <x:v>Equipment Cost</x:v>
      </x:c>
      <x:c r="D112" s="12" t="str">
        <x:v>Validate P26-REQ-111 using deterministic normal, boundary, invalid-unit, override, changed-library, and permission scenarios as applicable.</x:v>
      </x:c>
      <x:c r="E112" s="12" t="str">
        <x:v>Calculated outputs, units, lineage and approvals match the controlled formula/rule; invalid inputs and unauthorized overrides are blocked.</x:v>
      </x:c>
      <x:c r="F112" s="12" t="str">
        <x:v>Planned</x:v>
      </x:c>
    </x:row>
    <x:row r="113">
      <x:c r="A113" s="12" t="str">
        <x:v>P26-TST-112</x:v>
      </x:c>
      <x:c r="B113" s="12" t="str">
        <x:v>P26-REQ-112</x:v>
      </x:c>
      <x:c r="C113" s="12" t="str">
        <x:v>Equipment Rate Selection</x:v>
      </x:c>
      <x:c r="D113" s="12" t="str">
        <x:v>Validate P26-REQ-112 using deterministic normal, boundary, invalid-unit, override, changed-library, and permission scenarios as applicable.</x:v>
      </x:c>
      <x:c r="E113" s="12" t="str">
        <x:v>Calculated outputs, units, lineage and approvals match the controlled formula/rule; invalid inputs and unauthorized overrides are blocked.</x:v>
      </x:c>
      <x:c r="F113" s="12" t="str">
        <x:v>Planned</x:v>
      </x:c>
    </x:row>
    <x:row r="114">
      <x:c r="A114" s="12" t="str">
        <x:v>P26-TST-113</x:v>
      </x:c>
      <x:c r="B114" s="12" t="str">
        <x:v>P26-REQ-113</x:v>
      </x:c>
      <x:c r="C114" s="12" t="str">
        <x:v>Fuel Consumption</x:v>
      </x:c>
      <x:c r="D114" s="12" t="str">
        <x:v>Validate P26-REQ-113 using deterministic normal, boundary, invalid-unit, override, changed-library, and permission scenarios as applicable.</x:v>
      </x:c>
      <x:c r="E114" s="12" t="str">
        <x:v>Calculated outputs, units, lineage and approvals match the controlled formula/rule; invalid inputs and unauthorized overrides are blocked.</x:v>
      </x:c>
      <x:c r="F114" s="12" t="str">
        <x:v>Planned</x:v>
      </x:c>
    </x:row>
    <x:row r="115">
      <x:c r="A115" s="12" t="str">
        <x:v>P26-TST-114</x:v>
      </x:c>
      <x:c r="B115" s="12" t="str">
        <x:v>P26-REQ-114</x:v>
      </x:c>
      <x:c r="C115" s="12" t="str">
        <x:v>Truck Selection</x:v>
      </x:c>
      <x:c r="D115" s="12" t="str">
        <x:v>Validate P26-REQ-114 using deterministic normal, boundary, invalid-unit, override, changed-library, and permission scenarios as applicable.</x:v>
      </x:c>
      <x:c r="E115" s="12" t="str">
        <x:v>Calculated outputs, units, lineage and approvals match the controlled formula/rule; invalid inputs and unauthorized overrides are blocked.</x:v>
      </x:c>
      <x:c r="F115" s="12" t="str">
        <x:v>Planned</x:v>
      </x:c>
    </x:row>
    <x:row r="116">
      <x:c r="A116" s="12" t="str">
        <x:v>P26-TST-115</x:v>
      </x:c>
      <x:c r="B116" s="12" t="str">
        <x:v>P26-REQ-115</x:v>
      </x:c>
      <x:c r="C116" s="12" t="str">
        <x:v>Truck Cycle Calculation</x:v>
      </x:c>
      <x:c r="D116" s="12" t="str">
        <x:v>Validate P26-REQ-115 using deterministic normal, boundary, invalid-unit, override, changed-library, and permission scenarios as applicable.</x:v>
      </x:c>
      <x:c r="E116" s="12" t="str">
        <x:v>Calculated outputs, units, lineage and approvals match the controlled formula/rule; invalid inputs and unauthorized overrides are blocked.</x:v>
      </x:c>
      <x:c r="F116" s="12" t="str">
        <x:v>Planned</x:v>
      </x:c>
    </x:row>
    <x:row r="117">
      <x:c r="A117" s="12" t="str">
        <x:v>P26-TST-116</x:v>
      </x:c>
      <x:c r="B117" s="12" t="str">
        <x:v>P26-REQ-116</x:v>
      </x:c>
      <x:c r="C117" s="12" t="str">
        <x:v>Truck Count</x:v>
      </x:c>
      <x:c r="D117" s="12" t="str">
        <x:v>Validate P26-REQ-116 using deterministic normal, boundary, invalid-unit, override, changed-library, and permission scenarios as applicable.</x:v>
      </x:c>
      <x:c r="E117" s="12" t="str">
        <x:v>Calculated outputs, units, lineage and approvals match the controlled formula/rule; invalid inputs and unauthorized overrides are blocked.</x:v>
      </x:c>
      <x:c r="F117" s="12" t="str">
        <x:v>Planned</x:v>
      </x:c>
    </x:row>
    <x:row r="118">
      <x:c r="A118" s="12" t="str">
        <x:v>P26-TST-117</x:v>
      </x:c>
      <x:c r="B118" s="12" t="str">
        <x:v>P26-REQ-117</x:v>
      </x:c>
      <x:c r="C118" s="12" t="str">
        <x:v>Haul Distance</x:v>
      </x:c>
      <x:c r="D118" s="12" t="str">
        <x:v>Validate P26-REQ-117 using deterministic normal, boundary, invalid-unit, override, changed-library, and permission scenarios as applicable.</x:v>
      </x:c>
      <x:c r="E118" s="12" t="str">
        <x:v>Calculated outputs, units, lineage and approvals match the controlled formula/rule; invalid inputs and unauthorized overrides are blocked.</x:v>
      </x:c>
      <x:c r="F118" s="12" t="str">
        <x:v>Planned</x:v>
      </x:c>
    </x:row>
    <x:row r="119">
      <x:c r="A119" s="12" t="str">
        <x:v>P26-TST-118</x:v>
      </x:c>
      <x:c r="B119" s="12" t="str">
        <x:v>P26-REQ-118</x:v>
      </x:c>
      <x:c r="C119" s="12" t="str">
        <x:v>Disposal Cost</x:v>
      </x:c>
      <x:c r="D119" s="12" t="str">
        <x:v>Validate P26-REQ-118 using deterministic normal, boundary, invalid-unit, override, changed-library, and permission scenarios as applicable.</x:v>
      </x:c>
      <x:c r="E119" s="12" t="str">
        <x:v>Calculated outputs, units, lineage and approvals match the controlled formula/rule; invalid inputs and unauthorized overrides are blocked.</x:v>
      </x:c>
      <x:c r="F119" s="12" t="str">
        <x:v>Planned</x:v>
      </x:c>
    </x:row>
    <x:row r="120">
      <x:c r="A120" s="12" t="str">
        <x:v>P26-TST-119</x:v>
      </x:c>
      <x:c r="B120" s="12" t="str">
        <x:v>P26-REQ-119</x:v>
      </x:c>
      <x:c r="C120" s="12" t="str">
        <x:v>Material Cost</x:v>
      </x:c>
      <x:c r="D120" s="12" t="str">
        <x:v>Validate P26-REQ-119 using deterministic normal, boundary, invalid-unit, override, changed-library, and permission scenarios as applicable.</x:v>
      </x:c>
      <x:c r="E120" s="12" t="str">
        <x:v>Calculated outputs, units, lineage and approvals match the controlled formula/rule; invalid inputs and unauthorized overrides are blocked.</x:v>
      </x:c>
      <x:c r="F120" s="12" t="str">
        <x:v>Planned</x:v>
      </x:c>
    </x:row>
    <x:row r="121">
      <x:c r="A121" s="12" t="str">
        <x:v>P26-TST-120</x:v>
      </x:c>
      <x:c r="B121" s="12" t="str">
        <x:v>P26-REQ-120</x:v>
      </x:c>
      <x:c r="C121" s="12" t="str">
        <x:v>Material Waste</x:v>
      </x:c>
      <x:c r="D121" s="12" t="str">
        <x:v>Validate P26-REQ-120 using deterministic normal, boundary, invalid-unit, override, changed-library, and permission scenarios as applicable.</x:v>
      </x:c>
      <x:c r="E121" s="12" t="str">
        <x:v>Calculated outputs, units, lineage and approvals match the controlled formula/rule; invalid inputs and unauthorized overrides are blocked.</x:v>
      </x:c>
      <x:c r="F121" s="12" t="str">
        <x:v>Planned</x:v>
      </x:c>
    </x:row>
    <x:row r="122">
      <x:c r="A122" s="12" t="str">
        <x:v>P26-TST-121</x:v>
      </x:c>
      <x:c r="B122" s="12" t="str">
        <x:v>P26-REQ-121</x:v>
      </x:c>
      <x:c r="C122" s="12" t="str">
        <x:v>Subcontract Cost</x:v>
      </x:c>
      <x:c r="D122" s="12" t="str">
        <x:v>Validate P26-REQ-121 using deterministic normal, boundary, invalid-unit, override, changed-library, and permission scenarios as applicable.</x:v>
      </x:c>
      <x:c r="E122" s="12" t="str">
        <x:v>Calculated outputs, units, lineage and approvals match the controlled formula/rule; invalid inputs and unauthorized overrides are blocked.</x:v>
      </x:c>
      <x:c r="F122" s="12" t="str">
        <x:v>Planned</x:v>
      </x:c>
    </x:row>
    <x:row r="123">
      <x:c r="A123" s="12" t="str">
        <x:v>P26-TST-122</x:v>
      </x:c>
      <x:c r="B123" s="12" t="str">
        <x:v>P26-REQ-122</x:v>
      </x:c>
      <x:c r="C123" s="12" t="str">
        <x:v>Production Rate</x:v>
      </x:c>
      <x:c r="D123" s="12" t="str">
        <x:v>Validate P26-REQ-122 using deterministic normal, boundary, invalid-unit, override, changed-library, and permission scenarios as applicable.</x:v>
      </x:c>
      <x:c r="E123" s="12" t="str">
        <x:v>Calculated outputs, units, lineage and approvals match the controlled formula/rule; invalid inputs and unauthorized overrides are blocked.</x:v>
      </x:c>
      <x:c r="F123" s="12" t="str">
        <x:v>Planned</x:v>
      </x:c>
    </x:row>
    <x:row r="124">
      <x:c r="A124" s="12" t="str">
        <x:v>P26-TST-123</x:v>
      </x:c>
      <x:c r="B124" s="12" t="str">
        <x:v>P26-REQ-123</x:v>
      </x:c>
      <x:c r="C124" s="12" t="str">
        <x:v>Production Modifiers</x:v>
      </x:c>
      <x:c r="D124" s="12" t="str">
        <x:v>Validate P26-REQ-123 using deterministic normal, boundary, invalid-unit, override, changed-library, and permission scenarios as applicable.</x:v>
      </x:c>
      <x:c r="E124" s="12" t="str">
        <x:v>Calculated outputs, units, lineage and approvals match the controlled formula/rule; invalid inputs and unauthorized overrides are blocked.</x:v>
      </x:c>
      <x:c r="F124" s="12" t="str">
        <x:v>Planned</x:v>
      </x:c>
    </x:row>
    <x:row r="125">
      <x:c r="A125" s="12" t="str">
        <x:v>P26-TST-124</x:v>
      </x:c>
      <x:c r="B125" s="12" t="str">
        <x:v>P26-REQ-124</x:v>
      </x:c>
      <x:c r="C125" s="12" t="str">
        <x:v>Duration Calculation</x:v>
      </x:c>
      <x:c r="D125" s="12" t="str">
        <x:v>Validate P26-REQ-124 using deterministic normal, boundary, invalid-unit, override, changed-library, and permission scenarios as applicable.</x:v>
      </x:c>
      <x:c r="E125" s="12" t="str">
        <x:v>Calculated outputs, units, lineage and approvals match the controlled formula/rule; invalid inputs and unauthorized overrides are blocked.</x:v>
      </x:c>
      <x:c r="F125" s="12" t="str">
        <x:v>Planned</x:v>
      </x:c>
    </x:row>
    <x:row r="126">
      <x:c r="A126" s="12" t="str">
        <x:v>P26-TST-125</x:v>
      </x:c>
      <x:c r="B126" s="12" t="str">
        <x:v>P26-REQ-125</x:v>
      </x:c>
      <x:c r="C126" s="12" t="str">
        <x:v>Work Hours &amp; Shifts</x:v>
      </x:c>
      <x:c r="D126" s="12" t="str">
        <x:v>Validate P26-REQ-125 using deterministic normal, boundary, invalid-unit, override, changed-library, and permission scenarios as applicable.</x:v>
      </x:c>
      <x:c r="E126" s="12" t="str">
        <x:v>Calculated outputs, units, lineage and approvals match the controlled formula/rule; invalid inputs and unauthorized overrides are blocked.</x:v>
      </x:c>
      <x:c r="F126" s="12" t="str">
        <x:v>Planned</x:v>
      </x:c>
    </x:row>
    <x:row r="127">
      <x:c r="A127" s="12" t="str">
        <x:v>P26-TST-126</x:v>
      </x:c>
      <x:c r="B127" s="12" t="str">
        <x:v>P26-REQ-126</x:v>
      </x:c>
      <x:c r="C127" s="12" t="str">
        <x:v>Mobilization</x:v>
      </x:c>
      <x:c r="D127" s="12" t="str">
        <x:v>Validate P26-REQ-126 using deterministic normal, boundary, invalid-unit, override, changed-library, and permission scenarios as applicable.</x:v>
      </x:c>
      <x:c r="E127" s="12" t="str">
        <x:v>Calculated outputs, units, lineage and approvals match the controlled formula/rule; invalid inputs and unauthorized overrides are blocked.</x:v>
      </x:c>
      <x:c r="F127" s="12" t="str">
        <x:v>Planned</x:v>
      </x:c>
    </x:row>
    <x:row r="128">
      <x:c r="A128" s="12" t="str">
        <x:v>P26-TST-127</x:v>
      </x:c>
      <x:c r="B128" s="12" t="str">
        <x:v>P26-REQ-127</x:v>
      </x:c>
      <x:c r="C128" s="12" t="str">
        <x:v>Demobilization</x:v>
      </x:c>
      <x:c r="D128" s="12" t="str">
        <x:v>Validate P26-REQ-127 using deterministic normal, boundary, invalid-unit, override, changed-library, and permission scenarios as applicable.</x:v>
      </x:c>
      <x:c r="E128" s="12" t="str">
        <x:v>Calculated outputs, units, lineage and approvals match the controlled formula/rule; invalid inputs and unauthorized overrides are blocked.</x:v>
      </x:c>
      <x:c r="F128" s="12" t="str">
        <x:v>Planned</x:v>
      </x:c>
    </x:row>
    <x:row r="129">
      <x:c r="A129" s="12" t="str">
        <x:v>P26-TST-128</x:v>
      </x:c>
      <x:c r="B129" s="12" t="str">
        <x:v>P26-REQ-128</x:v>
      </x:c>
      <x:c r="C129" s="12" t="str">
        <x:v>Indirect Costs</x:v>
      </x:c>
      <x:c r="D129" s="12" t="str">
        <x:v>Validate P26-REQ-128 using deterministic normal, boundary, invalid-unit, override, changed-library, and permission scenarios as applicable.</x:v>
      </x:c>
      <x:c r="E129" s="12" t="str">
        <x:v>Calculated outputs, units, lineage and approvals match the controlled formula/rule; invalid inputs and unauthorized overrides are blocked.</x:v>
      </x:c>
      <x:c r="F129" s="12" t="str">
        <x:v>Planned</x:v>
      </x:c>
    </x:row>
    <x:row r="130">
      <x:c r="A130" s="12" t="str">
        <x:v>P26-TST-129</x:v>
      </x:c>
      <x:c r="B130" s="12" t="str">
        <x:v>P26-REQ-129</x:v>
      </x:c>
      <x:c r="C130" s="12" t="str">
        <x:v>Contingency</x:v>
      </x:c>
      <x:c r="D130" s="12" t="str">
        <x:v>Validate P26-REQ-129 using deterministic normal, boundary, invalid-unit, override, changed-library, and permission scenarios as applicable.</x:v>
      </x:c>
      <x:c r="E130" s="12" t="str">
        <x:v>Calculated outputs, units, lineage and approvals match the controlled formula/rule; invalid inputs and unauthorized overrides are blocked.</x:v>
      </x:c>
      <x:c r="F130" s="12" t="str">
        <x:v>Planned</x:v>
      </x:c>
    </x:row>
    <x:row r="131">
      <x:c r="A131" s="12" t="str">
        <x:v>P26-TST-130</x:v>
      </x:c>
      <x:c r="B131" s="12" t="str">
        <x:v>P26-REQ-130</x:v>
      </x:c>
      <x:c r="C131" s="12" t="str">
        <x:v>Markup</x:v>
      </x:c>
      <x:c r="D131" s="12" t="str">
        <x:v>Validate P26-REQ-130 using deterministic normal, boundary, invalid-unit, override, changed-library, and permission scenarios as applicable.</x:v>
      </x:c>
      <x:c r="E131" s="12" t="str">
        <x:v>Calculated outputs, units, lineage and approvals match the controlled formula/rule; invalid inputs and unauthorized overrides are blocked.</x:v>
      </x:c>
      <x:c r="F131" s="12" t="str">
        <x:v>Planned</x:v>
      </x:c>
    </x:row>
    <x:row r="132">
      <x:c r="A132" s="12" t="str">
        <x:v>P26-TST-131</x:v>
      </x:c>
      <x:c r="B132" s="12" t="str">
        <x:v>P26-REQ-131</x:v>
      </x:c>
      <x:c r="C132" s="12" t="str">
        <x:v>Overhead &amp; Profit</x:v>
      </x:c>
      <x:c r="D132" s="12" t="str">
        <x:v>Validate P26-REQ-131 using deterministic normal, boundary, invalid-unit, override, changed-library, and permission scenarios as applicable.</x:v>
      </x:c>
      <x:c r="E132" s="12" t="str">
        <x:v>Calculated outputs, units, lineage and approvals match the controlled formula/rule; invalid inputs and unauthorized overrides are blocked.</x:v>
      </x:c>
      <x:c r="F132" s="12" t="str">
        <x:v>Planned</x:v>
      </x:c>
    </x:row>
    <x:row r="133">
      <x:c r="A133" s="12" t="str">
        <x:v>P26-TST-132</x:v>
      </x:c>
      <x:c r="B133" s="12" t="str">
        <x:v>P26-REQ-132</x:v>
      </x:c>
      <x:c r="C133" s="12" t="str">
        <x:v>Tax &amp; Bond</x:v>
      </x:c>
      <x:c r="D133" s="12" t="str">
        <x:v>Validate P26-REQ-132 using deterministic normal, boundary, invalid-unit, override, changed-library, and permission scenarios as applicable.</x:v>
      </x:c>
      <x:c r="E133" s="12" t="str">
        <x:v>Calculated outputs, units, lineage and approvals match the controlled formula/rule; invalid inputs and unauthorized overrides are blocked.</x:v>
      </x:c>
      <x:c r="F133" s="12" t="str">
        <x:v>Planned</x:v>
      </x:c>
    </x:row>
    <x:row r="134">
      <x:c r="A134" s="12" t="str">
        <x:v>P26-TST-133</x:v>
      </x:c>
      <x:c r="B134" s="12" t="str">
        <x:v>P26-REQ-133</x:v>
      </x:c>
      <x:c r="C134" s="12" t="str">
        <x:v>Unit Price</x:v>
      </x:c>
      <x:c r="D134" s="12" t="str">
        <x:v>Validate P26-REQ-133 using deterministic normal, boundary, invalid-unit, override, changed-library, and permission scenarios as applicable.</x:v>
      </x:c>
      <x:c r="E134" s="12" t="str">
        <x:v>Calculated outputs, units, lineage and approvals match the controlled formula/rule; invalid inputs and unauthorized overrides are blocked.</x:v>
      </x:c>
      <x:c r="F134" s="12" t="str">
        <x:v>Planned</x:v>
      </x:c>
    </x:row>
    <x:row r="135">
      <x:c r="A135" s="12" t="str">
        <x:v>P26-TST-134</x:v>
      </x:c>
      <x:c r="B135" s="12" t="str">
        <x:v>P26-REQ-134</x:v>
      </x:c>
      <x:c r="C135" s="12" t="str">
        <x:v>Bid Price</x:v>
      </x:c>
      <x:c r="D135" s="12" t="str">
        <x:v>Validate P26-REQ-134 using deterministic normal, boundary, invalid-unit, override, changed-library, and permission scenarios as applicable.</x:v>
      </x:c>
      <x:c r="E135" s="12" t="str">
        <x:v>Calculated outputs, units, lineage and approvals match the controlled formula/rule; invalid inputs and unauthorized overrides are blocked.</x:v>
      </x:c>
      <x:c r="F135" s="12" t="str">
        <x:v>Planned</x:v>
      </x:c>
    </x:row>
    <x:row r="136">
      <x:c r="A136" s="12" t="str">
        <x:v>P26-TST-135</x:v>
      </x:c>
      <x:c r="B136" s="12" t="str">
        <x:v>P26-REQ-135</x:v>
      </x:c>
      <x:c r="C136" s="12" t="str">
        <x:v>Low/High Range</x:v>
      </x:c>
      <x:c r="D136" s="12" t="str">
        <x:v>Validate P26-REQ-135 using deterministic normal, boundary, invalid-unit, override, changed-library, and permission scenarios as applicable.</x:v>
      </x:c>
      <x:c r="E136" s="12" t="str">
        <x:v>Calculated outputs, units, lineage and approvals match the controlled formula/rule; invalid inputs and unauthorized overrides are blocked.</x:v>
      </x:c>
      <x:c r="F136" s="12" t="str">
        <x:v>Planned</x:v>
      </x:c>
    </x:row>
    <x:row r="137">
      <x:c r="A137" s="12" t="str">
        <x:v>P26-TST-136</x:v>
      </x:c>
      <x:c r="B137" s="12" t="str">
        <x:v>P26-REQ-136</x:v>
      </x:c>
      <x:c r="C137" s="12" t="str">
        <x:v>Scenario Comparison</x:v>
      </x:c>
      <x:c r="D137" s="12" t="str">
        <x:v>Validate P26-REQ-136 using deterministic normal, boundary, invalid-unit, override, changed-library, and permission scenarios as applicable.</x:v>
      </x:c>
      <x:c r="E137" s="12" t="str">
        <x:v>Calculated outputs, units, lineage and approvals match the controlled formula/rule; invalid inputs and unauthorized overrides are blocked.</x:v>
      </x:c>
      <x:c r="F137" s="12" t="str">
        <x:v>Planned</x:v>
      </x:c>
    </x:row>
    <x:row r="138">
      <x:c r="A138" s="12" t="str">
        <x:v>P26-TST-137</x:v>
      </x:c>
      <x:c r="B138" s="12" t="str">
        <x:v>P26-REQ-137</x:v>
      </x:c>
      <x:c r="C138" s="12" t="str">
        <x:v>Estimate Confidence</x:v>
      </x:c>
      <x:c r="D138" s="12" t="str">
        <x:v>Validate P26-REQ-137 using deterministic normal, boundary, invalid-unit, override, changed-library, and permission scenarios as applicable.</x:v>
      </x:c>
      <x:c r="E138" s="12" t="str">
        <x:v>Calculated outputs, units, lineage and approvals match the controlled formula/rule; invalid inputs and unauthorized overrides are blocked.</x:v>
      </x:c>
      <x:c r="F138" s="12" t="str">
        <x:v>Planned</x:v>
      </x:c>
    </x:row>
    <x:row r="139">
      <x:c r="A139" s="12" t="str">
        <x:v>P26-TST-138</x:v>
      </x:c>
      <x:c r="B139" s="12" t="str">
        <x:v>P26-REQ-138</x:v>
      </x:c>
      <x:c r="C139" s="12" t="str">
        <x:v>Regional Pricing</x:v>
      </x:c>
      <x:c r="D139" s="12" t="str">
        <x:v>Validate P26-REQ-138 using deterministic normal, boundary, invalid-unit, override, changed-library, and permission scenarios as applicable.</x:v>
      </x:c>
      <x:c r="E139" s="12" t="str">
        <x:v>Calculated outputs, units, lineage and approvals match the controlled formula/rule; invalid inputs and unauthorized overrides are blocked.</x:v>
      </x:c>
      <x:c r="F139" s="12" t="str">
        <x:v>Planned</x:v>
      </x:c>
    </x:row>
    <x:row r="140">
      <x:c r="A140" s="12" t="str">
        <x:v>P26-TST-139</x:v>
      </x:c>
      <x:c r="B140" s="12" t="str">
        <x:v>P26-REQ-139</x:v>
      </x:c>
      <x:c r="C140" s="12" t="str">
        <x:v>Vendor Quote Override</x:v>
      </x:c>
      <x:c r="D140" s="12" t="str">
        <x:v>Validate P26-REQ-139 using deterministic normal, boundary, invalid-unit, override, changed-library, and permission scenarios as applicable.</x:v>
      </x:c>
      <x:c r="E140" s="12" t="str">
        <x:v>Calculated outputs, units, lineage and approvals match the controlled formula/rule; invalid inputs and unauthorized overrides are blocked.</x:v>
      </x:c>
      <x:c r="F140" s="12" t="str">
        <x:v>Planned</x:v>
      </x:c>
    </x:row>
    <x:row r="141">
      <x:c r="A141" s="12" t="str">
        <x:v>P26-TST-140</x:v>
      </x:c>
      <x:c r="B141" s="12" t="str">
        <x:v>P26-REQ-140</x:v>
      </x:c>
      <x:c r="C141" s="12" t="str">
        <x:v>Snapshot Reproducibility</x:v>
      </x:c>
      <x:c r="D141" s="12" t="str">
        <x:v>Validate P26-REQ-140 using deterministic normal, boundary, invalid-unit, override, changed-library, and permission scenarios as applicable.</x:v>
      </x:c>
      <x:c r="E141" s="12" t="str">
        <x:v>Calculated outputs, units, lineage and approvals match the controlled formula/rule; invalid inputs and unauthorized overrides are blocked.</x:v>
      </x:c>
      <x:c r="F141" s="12" t="str">
        <x:v>Planned</x:v>
      </x:c>
    </x:row>
    <x:row r="142">
      <x:c r="A142" s="12" t="str">
        <x:v>P26-TST-141</x:v>
      </x:c>
      <x:c r="B142" s="12" t="str">
        <x:v>P26-REQ-141</x:v>
      </x:c>
      <x:c r="C142" s="12" t="str">
        <x:v>Service Catalog Writeback</x:v>
      </x:c>
      <x:c r="D142" s="12" t="str">
        <x:v>Validate P26-REQ-141 using deterministic normal, boundary, invalid-unit, override, changed-library, and permission scenarios as applicable.</x:v>
      </x:c>
      <x:c r="E142" s="12" t="str">
        <x:v>Calculated outputs, units, lineage and approvals match the controlled formula/rule; invalid inputs and unauthorized overrides are blocked.</x:v>
      </x:c>
      <x:c r="F142" s="12" t="str">
        <x:v>Planned</x:v>
      </x:c>
    </x:row>
    <x:row r="143">
      <x:c r="A143" s="12" t="str">
        <x:v>P26-TST-142</x:v>
      </x:c>
      <x:c r="B143" s="12" t="str">
        <x:v>P26-REQ-142</x:v>
      </x:c>
      <x:c r="C143" s="12" t="str">
        <x:v>AI Estimate Assist</x:v>
      </x:c>
      <x:c r="D143" s="12" t="str">
        <x:v>Validate P26-REQ-142 using deterministic normal, boundary, invalid-unit, override, changed-library, and permission scenarios as applicable.</x:v>
      </x:c>
      <x:c r="E143" s="12" t="str">
        <x:v>Calculated outputs, units, lineage and approvals match the controlled formula/rule; invalid inputs and unauthorized overrides are blocked.</x:v>
      </x:c>
      <x:c r="F143" s="12" t="str">
        <x:v>Planned</x:v>
      </x:c>
    </x:row>
    <x:row r="144">
      <x:c r="A144" s="12" t="str">
        <x:v>P26-TST-143</x:v>
      </x:c>
      <x:c r="B144" s="12" t="str">
        <x:v>P26-REQ-143</x:v>
      </x:c>
      <x:c r="C144" s="12" t="str">
        <x:v>Estimate Review &amp; Approval</x:v>
      </x:c>
      <x:c r="D144" s="12" t="str">
        <x:v>Validate P26-REQ-143 using deterministic normal, boundary, invalid-unit, override, changed-library, and permission scenarios as applicable.</x:v>
      </x:c>
      <x:c r="E144" s="12" t="str">
        <x:v>Calculated outputs, units, lineage and approvals match the controlled formula/rule; invalid inputs and unauthorized overrides are blocked.</x:v>
      </x:c>
      <x:c r="F144" s="12" t="str">
        <x:v>Planned</x:v>
      </x:c>
    </x:row>
    <x:row r="145">
      <x:c r="A145" s="12" t="str">
        <x:v>P26-TST-144</x:v>
      </x:c>
      <x:c r="B145" s="12" t="str">
        <x:v>P26-REQ-144</x:v>
      </x:c>
      <x:c r="C145" s="12" t="str">
        <x:v>Estimate Export</x:v>
      </x:c>
      <x:c r="D145" s="12" t="str">
        <x:v>Validate P26-REQ-144 using deterministic normal, boundary, invalid-unit, override, changed-library, and permission scenarios as applicable.</x:v>
      </x:c>
      <x:c r="E145" s="12" t="str">
        <x:v>Calculated outputs, units, lineage and approvals match the controlled formula/rule; invalid inputs and unauthorized overrides are blocked.</x:v>
      </x:c>
      <x:c r="F145" s="12" t="str">
        <x:v>Planned</x:v>
      </x:c>
    </x:row>
    <x:row r="146">
      <x:c r="A146" s="12" t="str">
        <x:v>P26-TST-145</x:v>
      </x:c>
      <x:c r="B146" s="12" t="str">
        <x:v>P26-REQ-145</x:v>
      </x:c>
      <x:c r="C146" s="12" t="str">
        <x:v>Proposal Handoff</x:v>
      </x:c>
      <x:c r="D146" s="12" t="str">
        <x:v>Validate P26-REQ-145 using deterministic normal, boundary, invalid-unit, override, changed-library, and permission scenarios as applicable.</x:v>
      </x:c>
      <x:c r="E146" s="12" t="str">
        <x:v>Calculated outputs, units, lineage and approvals match the controlled formula/rule; invalid inputs and unauthorized overrides are blocked.</x:v>
      </x:c>
      <x:c r="F146" s="12" t="str">
        <x:v>Planned</x:v>
      </x:c>
    </x:row>
    <x:row r="147">
      <x:c r="A147" s="12" t="str">
        <x:v>P26-TST-146</x:v>
      </x:c>
      <x:c r="B147" s="12" t="str">
        <x:v>P26-REQ-146</x:v>
      </x:c>
      <x:c r="C147" s="12" t="str">
        <x:v>Job Cost Baseline</x:v>
      </x:c>
      <x:c r="D147" s="12" t="str">
        <x:v>Validate P26-REQ-146 using deterministic normal, boundary, invalid-unit, override, changed-library, and permission scenarios as applicable.</x:v>
      </x:c>
      <x:c r="E147" s="12" t="str">
        <x:v>Calculated outputs, units, lineage and approvals match the controlled formula/rule; invalid inputs and unauthorized overrides are blocked.</x:v>
      </x:c>
      <x:c r="F147" s="12" t="str">
        <x:v>Planned</x:v>
      </x:c>
    </x:row>
    <x:row r="148">
      <x:c r="A148" s="12" t="str">
        <x:v>P26-TST-147</x:v>
      </x:c>
      <x:c r="B148" s="12" t="str">
        <x:v>P26-REQ-147</x:v>
      </x:c>
      <x:c r="C148" s="12" t="str">
        <x:v>Audit &amp; Traceability</x:v>
      </x:c>
      <x:c r="D148" s="12" t="str">
        <x:v>Validate P26-REQ-147 using deterministic normal, boundary, invalid-unit, override, changed-library, and permission scenarios as applicable.</x:v>
      </x:c>
      <x:c r="E148" s="12" t="str">
        <x:v>Calculated outputs, units, lineage and approvals match the controlled formula/rule; invalid inputs and unauthorized overrides are blocked.</x:v>
      </x:c>
      <x:c r="F148" s="12" t="str">
        <x:v>Planned</x:v>
      </x:c>
    </x:row>
    <x:row r="149">
      <x:c r="A149" s="12" t="str">
        <x:v>P26-TST-148</x:v>
      </x:c>
      <x:c r="B149" s="12" t="str">
        <x:v>P26-REQ-148</x:v>
      </x:c>
      <x:c r="C149" s="12" t="str">
        <x:v>Estimate Lifecycle</x:v>
      </x:c>
      <x:c r="D149" s="12" t="str">
        <x:v>Validate P26-REQ-148 using deterministic normal, boundary, invalid-unit, override, changed-library, and permission scenarios as applicable.</x:v>
      </x:c>
      <x:c r="E149" s="12" t="str">
        <x:v>Calculated outputs, units, lineage and approvals match the controlled formula/rule; invalid inputs and unauthorized overrides are blocked.</x:v>
      </x:c>
      <x:c r="F149" s="12" t="str">
        <x:v>Planned</x:v>
      </x:c>
    </x:row>
    <x:row r="150">
      <x:c r="A150" s="12" t="str">
        <x:v>P26-TST-149</x:v>
      </x:c>
      <x:c r="B150" s="12" t="str">
        <x:v>P26-REQ-149</x:v>
      </x:c>
      <x:c r="C150" s="12" t="str">
        <x:v>Estimate Versions</x:v>
      </x:c>
      <x:c r="D150" s="12" t="str">
        <x:v>Validate P26-REQ-149 using deterministic normal, boundary, invalid-unit, override, changed-library, and permission scenarios as applicable.</x:v>
      </x:c>
      <x:c r="E150" s="12" t="str">
        <x:v>Calculated outputs, units, lineage and approvals match the controlled formula/rule; invalid inputs and unauthorized overrides are blocked.</x:v>
      </x:c>
      <x:c r="F150" s="12" t="str">
        <x:v>Planned</x:v>
      </x:c>
    </x:row>
    <x:row r="151">
      <x:c r="A151" s="12" t="str">
        <x:v>P26-TST-150</x:v>
      </x:c>
      <x:c r="B151" s="12" t="str">
        <x:v>P26-REQ-150</x:v>
      </x:c>
      <x:c r="C151" s="12" t="str">
        <x:v>Estimate Templates</x:v>
      </x:c>
      <x:c r="D151" s="12" t="str">
        <x:v>Validate P26-REQ-150 using deterministic normal, boundary, invalid-unit, override, changed-library, and permission scenarios as applicable.</x:v>
      </x:c>
      <x:c r="E151" s="12" t="str">
        <x:v>Calculated outputs, units, lineage and approvals match the controlled formula/rule; invalid inputs and unauthorized overrides are blocked.</x:v>
      </x:c>
      <x:c r="F151" s="12" t="str">
        <x:v>Planned</x:v>
      </x:c>
    </x:row>
    <x:row r="152">
      <x:c r="A152" s="12" t="str">
        <x:v>P26-TST-151</x:v>
      </x:c>
      <x:c r="B152" s="12" t="str">
        <x:v>P26-REQ-151</x:v>
      </x:c>
      <x:c r="C152" s="12" t="str">
        <x:v>Service Selection</x:v>
      </x:c>
      <x:c r="D152" s="12" t="str">
        <x:v>Validate P26-REQ-151 using deterministic normal, boundary, invalid-unit, override, changed-library, and permission scenarios as applicable.</x:v>
      </x:c>
      <x:c r="E152" s="12" t="str">
        <x:v>Calculated outputs, units, lineage and approvals match the controlled formula/rule; invalid inputs and unauthorized overrides are blocked.</x:v>
      </x:c>
      <x:c r="F152" s="12" t="str">
        <x:v>Planned</x:v>
      </x:c>
    </x:row>
    <x:row r="153">
      <x:c r="A153" s="12" t="str">
        <x:v>P26-TST-152</x:v>
      </x:c>
      <x:c r="B153" s="12" t="str">
        <x:v>P26-REQ-152</x:v>
      </x:c>
      <x:c r="C153" s="12" t="str">
        <x:v>Assembly Expansion</x:v>
      </x:c>
      <x:c r="D153" s="12" t="str">
        <x:v>Validate P26-REQ-152 using deterministic normal, boundary, invalid-unit, override, changed-library, and permission scenarios as applicable.</x:v>
      </x:c>
      <x:c r="E153" s="12" t="str">
        <x:v>Calculated outputs, units, lineage and approvals match the controlled formula/rule; invalid inputs and unauthorized overrides are blocked.</x:v>
      </x:c>
      <x:c r="F153" s="12" t="str">
        <x:v>Planned</x:v>
      </x:c>
    </x:row>
    <x:row r="154">
      <x:c r="A154" s="12" t="str">
        <x:v>P26-TST-153</x:v>
      </x:c>
      <x:c r="B154" s="12" t="str">
        <x:v>P26-REQ-153</x:v>
      </x:c>
      <x:c r="C154" s="12" t="str">
        <x:v>Quantity Input</x:v>
      </x:c>
      <x:c r="D154" s="12" t="str">
        <x:v>Validate P26-REQ-153 using deterministic normal, boundary, invalid-unit, override, changed-library, and permission scenarios as applicable.</x:v>
      </x:c>
      <x:c r="E154" s="12" t="str">
        <x:v>Calculated outputs, units, lineage and approvals match the controlled formula/rule; invalid inputs and unauthorized overrides are blocked.</x:v>
      </x:c>
      <x:c r="F154" s="12" t="str">
        <x:v>Planned</x:v>
      </x:c>
    </x:row>
    <x:row r="155">
      <x:c r="A155" s="12" t="str">
        <x:v>P26-TST-154</x:v>
      </x:c>
      <x:c r="B155" s="12" t="str">
        <x:v>P26-REQ-154</x:v>
      </x:c>
      <x:c r="C155" s="12" t="str">
        <x:v>Quantity Takeoff Intake</x:v>
      </x:c>
      <x:c r="D155" s="12" t="str">
        <x:v>Validate P26-REQ-154 using deterministic normal, boundary, invalid-unit, override, changed-library, and permission scenarios as applicable.</x:v>
      </x:c>
      <x:c r="E155" s="12" t="str">
        <x:v>Calculated outputs, units, lineage and approvals match the controlled formula/rule; invalid inputs and unauthorized overrides are blocked.</x:v>
      </x:c>
      <x:c r="F155" s="12" t="str">
        <x:v>Planned</x:v>
      </x:c>
    </x:row>
    <x:row r="156">
      <x:c r="A156" s="12" t="str">
        <x:v>P26-TST-155</x:v>
      </x:c>
      <x:c r="B156" s="12" t="str">
        <x:v>P26-REQ-155</x:v>
      </x:c>
      <x:c r="C156" s="12" t="str">
        <x:v>Labor Cost</x:v>
      </x:c>
      <x:c r="D156" s="12" t="str">
        <x:v>Validate P26-REQ-155 using deterministic normal, boundary, invalid-unit, override, changed-library, and permission scenarios as applicable.</x:v>
      </x:c>
      <x:c r="E156" s="12" t="str">
        <x:v>Calculated outputs, units, lineage and approvals match the controlled formula/rule; invalid inputs and unauthorized overrides are blocked.</x:v>
      </x:c>
      <x:c r="F156" s="12" t="str">
        <x:v>Planned</x:v>
      </x:c>
    </x:row>
    <x:row r="157">
      <x:c r="A157" s="12" t="str">
        <x:v>P26-TST-156</x:v>
      </x:c>
      <x:c r="B157" s="12" t="str">
        <x:v>P26-REQ-156</x:v>
      </x:c>
      <x:c r="C157" s="12" t="str">
        <x:v>Labor Burden</x:v>
      </x:c>
      <x:c r="D157" s="12" t="str">
        <x:v>Validate P26-REQ-156 using deterministic normal, boundary, invalid-unit, override, changed-library, and permission scenarios as applicable.</x:v>
      </x:c>
      <x:c r="E157" s="12" t="str">
        <x:v>Calculated outputs, units, lineage and approvals match the controlled formula/rule; invalid inputs and unauthorized overrides are blocked.</x:v>
      </x:c>
      <x:c r="F157" s="12" t="str">
        <x:v>Planned</x:v>
      </x:c>
    </x:row>
    <x:row r="158">
      <x:c r="A158" s="12" t="str">
        <x:v>P26-TST-157</x:v>
      </x:c>
      <x:c r="B158" s="12" t="str">
        <x:v>P26-REQ-157</x:v>
      </x:c>
      <x:c r="C158" s="12" t="str">
        <x:v>Crew Composition</x:v>
      </x:c>
      <x:c r="D158" s="12" t="str">
        <x:v>Validate P26-REQ-157 using deterministic normal, boundary, invalid-unit, override, changed-library, and permission scenarios as applicable.</x:v>
      </x:c>
      <x:c r="E158" s="12" t="str">
        <x:v>Calculated outputs, units, lineage and approvals match the controlled formula/rule; invalid inputs and unauthorized overrides are blocked.</x:v>
      </x:c>
      <x:c r="F158" s="12" t="str">
        <x:v>Planned</x:v>
      </x:c>
    </x:row>
    <x:row r="159">
      <x:c r="A159" s="12" t="str">
        <x:v>P26-TST-158</x:v>
      </x:c>
      <x:c r="B159" s="12" t="str">
        <x:v>P26-REQ-158</x:v>
      </x:c>
      <x:c r="C159" s="12" t="str">
        <x:v>Crew Size Recommendation</x:v>
      </x:c>
      <x:c r="D159" s="12" t="str">
        <x:v>Validate P26-REQ-158 using deterministic normal, boundary, invalid-unit, override, changed-library, and permission scenarios as applicable.</x:v>
      </x:c>
      <x:c r="E159" s="12" t="str">
        <x:v>Calculated outputs, units, lineage and approvals match the controlled formula/rule; invalid inputs and unauthorized overrides are blocked.</x:v>
      </x:c>
      <x:c r="F159" s="12" t="str">
        <x:v>Planned</x:v>
      </x:c>
    </x:row>
    <x:row r="160">
      <x:c r="A160" s="12" t="str">
        <x:v>P26-TST-159</x:v>
      </x:c>
      <x:c r="B160" s="12" t="str">
        <x:v>P26-REQ-159</x:v>
      </x:c>
      <x:c r="C160" s="12" t="str">
        <x:v>Equipment Selection</x:v>
      </x:c>
      <x:c r="D160" s="12" t="str">
        <x:v>Validate P26-REQ-159 using deterministic normal, boundary, invalid-unit, override, changed-library, and permission scenarios as applicable.</x:v>
      </x:c>
      <x:c r="E160" s="12" t="str">
        <x:v>Calculated outputs, units, lineage and approvals match the controlled formula/rule; invalid inputs and unauthorized overrides are blocked.</x:v>
      </x:c>
      <x:c r="F160" s="12" t="str">
        <x:v>Planned</x:v>
      </x:c>
    </x:row>
    <x:row r="161">
      <x:c r="A161" s="12" t="str">
        <x:v>P26-TST-160</x:v>
      </x:c>
      <x:c r="B161" s="12" t="str">
        <x:v>P26-REQ-160</x:v>
      </x:c>
      <x:c r="C161" s="12" t="str">
        <x:v>Equipment Cost</x:v>
      </x:c>
      <x:c r="D161" s="12" t="str">
        <x:v>Validate P26-REQ-160 using deterministic normal, boundary, invalid-unit, override, changed-library, and permission scenarios as applicable.</x:v>
      </x:c>
      <x:c r="E161" s="12" t="str">
        <x:v>Calculated outputs, units, lineage and approvals match the controlled formula/rule; invalid inputs and unauthorized overrides are blocked.</x:v>
      </x:c>
      <x:c r="F161" s="12" t="str">
        <x:v>Planned</x:v>
      </x:c>
    </x:row>
    <x:row r="162">
      <x:c r="A162" s="12" t="str">
        <x:v>P26-TST-161</x:v>
      </x:c>
      <x:c r="B162" s="12" t="str">
        <x:v>P26-REQ-161</x:v>
      </x:c>
      <x:c r="C162" s="12" t="str">
        <x:v>Equipment Rate Selection</x:v>
      </x:c>
      <x:c r="D162" s="12" t="str">
        <x:v>Validate P26-REQ-161 using deterministic normal, boundary, invalid-unit, override, changed-library, and permission scenarios as applicable.</x:v>
      </x:c>
      <x:c r="E162" s="12" t="str">
        <x:v>Calculated outputs, units, lineage and approvals match the controlled formula/rule; invalid inputs and unauthorized overrides are blocked.</x:v>
      </x:c>
      <x:c r="F162" s="12" t="str">
        <x:v>Planned</x:v>
      </x:c>
    </x:row>
    <x:row r="163">
      <x:c r="A163" s="12" t="str">
        <x:v>P26-TST-162</x:v>
      </x:c>
      <x:c r="B163" s="12" t="str">
        <x:v>P26-REQ-162</x:v>
      </x:c>
      <x:c r="C163" s="12" t="str">
        <x:v>Fuel Consumption</x:v>
      </x:c>
      <x:c r="D163" s="12" t="str">
        <x:v>Validate P26-REQ-162 using deterministic normal, boundary, invalid-unit, override, changed-library, and permission scenarios as applicable.</x:v>
      </x:c>
      <x:c r="E163" s="12" t="str">
        <x:v>Calculated outputs, units, lineage and approvals match the controlled formula/rule; invalid inputs and unauthorized overrides are blocked.</x:v>
      </x:c>
      <x:c r="F163" s="12" t="str">
        <x:v>Planned</x:v>
      </x:c>
    </x:row>
    <x:row r="164">
      <x:c r="A164" s="12" t="str">
        <x:v>P26-TST-163</x:v>
      </x:c>
      <x:c r="B164" s="12" t="str">
        <x:v>P26-REQ-163</x:v>
      </x:c>
      <x:c r="C164" s="12" t="str">
        <x:v>Truck Selection</x:v>
      </x:c>
      <x:c r="D164" s="12" t="str">
        <x:v>Validate P26-REQ-163 using deterministic normal, boundary, invalid-unit, override, changed-library, and permission scenarios as applicable.</x:v>
      </x:c>
      <x:c r="E164" s="12" t="str">
        <x:v>Calculated outputs, units, lineage and approvals match the controlled formula/rule; invalid inputs and unauthorized overrides are blocked.</x:v>
      </x:c>
      <x:c r="F164" s="12" t="str">
        <x:v>Planned</x:v>
      </x:c>
    </x:row>
    <x:row r="165">
      <x:c r="A165" s="12" t="str">
        <x:v>P26-TST-164</x:v>
      </x:c>
      <x:c r="B165" s="12" t="str">
        <x:v>P26-REQ-164</x:v>
      </x:c>
      <x:c r="C165" s="12" t="str">
        <x:v>Truck Cycle Calculation</x:v>
      </x:c>
      <x:c r="D165" s="12" t="str">
        <x:v>Validate P26-REQ-164 using deterministic normal, boundary, invalid-unit, override, changed-library, and permission scenarios as applicable.</x:v>
      </x:c>
      <x:c r="E165" s="12" t="str">
        <x:v>Calculated outputs, units, lineage and approvals match the controlled formula/rule; invalid inputs and unauthorized overrides are blocked.</x:v>
      </x:c>
      <x:c r="F165" s="12" t="str">
        <x:v>Planned</x:v>
      </x:c>
    </x:row>
    <x:row r="166">
      <x:c r="A166" s="12" t="str">
        <x:v>P26-TST-165</x:v>
      </x:c>
      <x:c r="B166" s="12" t="str">
        <x:v>P26-REQ-165</x:v>
      </x:c>
      <x:c r="C166" s="12" t="str">
        <x:v>Truck Count</x:v>
      </x:c>
      <x:c r="D166" s="12" t="str">
        <x:v>Validate P26-REQ-165 using deterministic normal, boundary, invalid-unit, override, changed-library, and permission scenarios as applicable.</x:v>
      </x:c>
      <x:c r="E166" s="12" t="str">
        <x:v>Calculated outputs, units, lineage and approvals match the controlled formula/rule; invalid inputs and unauthorized overrides are blocked.</x:v>
      </x:c>
      <x:c r="F166" s="12" t="str">
        <x:v>Planned</x:v>
      </x:c>
    </x:row>
    <x:row r="167">
      <x:c r="A167" s="12" t="str">
        <x:v>P26-TST-166</x:v>
      </x:c>
      <x:c r="B167" s="12" t="str">
        <x:v>P26-REQ-166</x:v>
      </x:c>
      <x:c r="C167" s="12" t="str">
        <x:v>Haul Distance</x:v>
      </x:c>
      <x:c r="D167" s="12" t="str">
        <x:v>Validate P26-REQ-166 using deterministic normal, boundary, invalid-unit, override, changed-library, and permission scenarios as applicable.</x:v>
      </x:c>
      <x:c r="E167" s="12" t="str">
        <x:v>Calculated outputs, units, lineage and approvals match the controlled formula/rule; invalid inputs and unauthorized overrides are blocked.</x:v>
      </x:c>
      <x:c r="F167" s="12" t="str">
        <x:v>Planned</x:v>
      </x:c>
    </x:row>
    <x:row r="168">
      <x:c r="A168" s="12" t="str">
        <x:v>P26-TST-167</x:v>
      </x:c>
      <x:c r="B168" s="12" t="str">
        <x:v>P26-REQ-167</x:v>
      </x:c>
      <x:c r="C168" s="12" t="str">
        <x:v>Disposal Cost</x:v>
      </x:c>
      <x:c r="D168" s="12" t="str">
        <x:v>Validate P26-REQ-167 using deterministic normal, boundary, invalid-unit, override, changed-library, and permission scenarios as applicable.</x:v>
      </x:c>
      <x:c r="E168" s="12" t="str">
        <x:v>Calculated outputs, units, lineage and approvals match the controlled formula/rule; invalid inputs and unauthorized overrides are blocked.</x:v>
      </x:c>
      <x:c r="F168" s="12" t="str">
        <x:v>Planned</x:v>
      </x:c>
    </x:row>
    <x:row r="169">
      <x:c r="A169" s="12" t="str">
        <x:v>P26-TST-168</x:v>
      </x:c>
      <x:c r="B169" s="12" t="str">
        <x:v>P26-REQ-168</x:v>
      </x:c>
      <x:c r="C169" s="12" t="str">
        <x:v>Material Cost</x:v>
      </x:c>
      <x:c r="D169" s="12" t="str">
        <x:v>Validate P26-REQ-168 using deterministic normal, boundary, invalid-unit, override, changed-library, and permission scenarios as applicable.</x:v>
      </x:c>
      <x:c r="E169" s="12" t="str">
        <x:v>Calculated outputs, units, lineage and approvals match the controlled formula/rule; invalid inputs and unauthorized overrides are blocked.</x:v>
      </x:c>
      <x:c r="F169" s="12" t="str">
        <x:v>Planned</x:v>
      </x:c>
    </x:row>
    <x:row r="170">
      <x:c r="A170" s="12" t="str">
        <x:v>P26-TST-169</x:v>
      </x:c>
      <x:c r="B170" s="12" t="str">
        <x:v>P26-REQ-169</x:v>
      </x:c>
      <x:c r="C170" s="12" t="str">
        <x:v>Material Waste</x:v>
      </x:c>
      <x:c r="D170" s="12" t="str">
        <x:v>Validate P26-REQ-169 using deterministic normal, boundary, invalid-unit, override, changed-library, and permission scenarios as applicable.</x:v>
      </x:c>
      <x:c r="E170" s="12" t="str">
        <x:v>Calculated outputs, units, lineage and approvals match the controlled formula/rule; invalid inputs and unauthorized overrides are blocked.</x:v>
      </x:c>
      <x:c r="F170" s="12" t="str">
        <x:v>Planned</x:v>
      </x:c>
    </x:row>
    <x:row r="171">
      <x:c r="A171" s="12" t="str">
        <x:v>P26-TST-170</x:v>
      </x:c>
      <x:c r="B171" s="12" t="str">
        <x:v>P26-REQ-170</x:v>
      </x:c>
      <x:c r="C171" s="12" t="str">
        <x:v>Subcontract Cost</x:v>
      </x:c>
      <x:c r="D171" s="12" t="str">
        <x:v>Validate P26-REQ-170 using deterministic normal, boundary, invalid-unit, override, changed-library, and permission scenarios as applicable.</x:v>
      </x:c>
      <x:c r="E171" s="12" t="str">
        <x:v>Calculated outputs, units, lineage and approvals match the controlled formula/rule; invalid inputs and unauthorized overrides are blocked.</x:v>
      </x:c>
      <x:c r="F171" s="12" t="str">
        <x:v>Planned</x:v>
      </x:c>
    </x:row>
    <x:row r="172">
      <x:c r="A172" s="12" t="str">
        <x:v>P26-TST-171</x:v>
      </x:c>
      <x:c r="B172" s="12" t="str">
        <x:v>P26-REQ-171</x:v>
      </x:c>
      <x:c r="C172" s="12" t="str">
        <x:v>Production Rate</x:v>
      </x:c>
      <x:c r="D172" s="12" t="str">
        <x:v>Validate P26-REQ-171 using deterministic normal, boundary, invalid-unit, override, changed-library, and permission scenarios as applicable.</x:v>
      </x:c>
      <x:c r="E172" s="12" t="str">
        <x:v>Calculated outputs, units, lineage and approvals match the controlled formula/rule; invalid inputs and unauthorized overrides are blocked.</x:v>
      </x:c>
      <x:c r="F172" s="12" t="str">
        <x:v>Planned</x:v>
      </x:c>
    </x:row>
    <x:row r="173">
      <x:c r="A173" s="12" t="str">
        <x:v>P26-TST-172</x:v>
      </x:c>
      <x:c r="B173" s="12" t="str">
        <x:v>P26-REQ-172</x:v>
      </x:c>
      <x:c r="C173" s="12" t="str">
        <x:v>Production Modifiers</x:v>
      </x:c>
      <x:c r="D173" s="12" t="str">
        <x:v>Validate P26-REQ-172 using deterministic normal, boundary, invalid-unit, override, changed-library, and permission scenarios as applicable.</x:v>
      </x:c>
      <x:c r="E173" s="12" t="str">
        <x:v>Calculated outputs, units, lineage and approvals match the controlled formula/rule; invalid inputs and unauthorized overrides are blocked.</x:v>
      </x:c>
      <x:c r="F173" s="12" t="str">
        <x:v>Planned</x:v>
      </x:c>
    </x:row>
    <x:row r="174">
      <x:c r="A174" s="12" t="str">
        <x:v>P26-TST-173</x:v>
      </x:c>
      <x:c r="B174" s="12" t="str">
        <x:v>P26-REQ-173</x:v>
      </x:c>
      <x:c r="C174" s="12" t="str">
        <x:v>Duration Calculation</x:v>
      </x:c>
      <x:c r="D174" s="12" t="str">
        <x:v>Validate P26-REQ-173 using deterministic normal, boundary, invalid-unit, override, changed-library, and permission scenarios as applicable.</x:v>
      </x:c>
      <x:c r="E174" s="12" t="str">
        <x:v>Calculated outputs, units, lineage and approvals match the controlled formula/rule; invalid inputs and unauthorized overrides are blocked.</x:v>
      </x:c>
      <x:c r="F174" s="12" t="str">
        <x:v>Planned</x:v>
      </x:c>
    </x:row>
    <x:row r="175">
      <x:c r="A175" s="12" t="str">
        <x:v>P26-TST-174</x:v>
      </x:c>
      <x:c r="B175" s="12" t="str">
        <x:v>P26-REQ-174</x:v>
      </x:c>
      <x:c r="C175" s="12" t="str">
        <x:v>Work Hours &amp; Shifts</x:v>
      </x:c>
      <x:c r="D175" s="12" t="str">
        <x:v>Validate P26-REQ-174 using deterministic normal, boundary, invalid-unit, override, changed-library, and permission scenarios as applicable.</x:v>
      </x:c>
      <x:c r="E175" s="12" t="str">
        <x:v>Calculated outputs, units, lineage and approvals match the controlled formula/rule; invalid inputs and unauthorized overrides are blocked.</x:v>
      </x:c>
      <x:c r="F175" s="12" t="str">
        <x:v>Planned</x:v>
      </x:c>
    </x:row>
    <x:row r="176">
      <x:c r="A176" s="12" t="str">
        <x:v>P26-TST-175</x:v>
      </x:c>
      <x:c r="B176" s="12" t="str">
        <x:v>P26-REQ-175</x:v>
      </x:c>
      <x:c r="C176" s="12" t="str">
        <x:v>Mobilization</x:v>
      </x:c>
      <x:c r="D176" s="12" t="str">
        <x:v>Validate P26-REQ-175 using deterministic normal, boundary, invalid-unit, override, changed-library, and permission scenarios as applicable.</x:v>
      </x:c>
      <x:c r="E176" s="12" t="str">
        <x:v>Calculated outputs, units, lineage and approvals match the controlled formula/rule; invalid inputs and unauthorized overrides are blocked.</x:v>
      </x:c>
      <x:c r="F176" s="12" t="str">
        <x:v>Planned</x:v>
      </x:c>
    </x:row>
    <x:row r="177">
      <x:c r="A177" s="12" t="str">
        <x:v>P26-TST-176</x:v>
      </x:c>
      <x:c r="B177" s="12" t="str">
        <x:v>P26-REQ-176</x:v>
      </x:c>
      <x:c r="C177" s="12" t="str">
        <x:v>Demobilization</x:v>
      </x:c>
      <x:c r="D177" s="12" t="str">
        <x:v>Validate P26-REQ-176 using deterministic normal, boundary, invalid-unit, override, changed-library, and permission scenarios as applicable.</x:v>
      </x:c>
      <x:c r="E177" s="12" t="str">
        <x:v>Calculated outputs, units, lineage and approvals match the controlled formula/rule; invalid inputs and unauthorized overrides are blocked.</x:v>
      </x:c>
      <x:c r="F177" s="12" t="str">
        <x:v>Planned</x:v>
      </x:c>
    </x:row>
    <x:row r="178">
      <x:c r="A178" s="12" t="str">
        <x:v>P26-TST-177</x:v>
      </x:c>
      <x:c r="B178" s="12" t="str">
        <x:v>P26-REQ-177</x:v>
      </x:c>
      <x:c r="C178" s="12" t="str">
        <x:v>Indirect Costs</x:v>
      </x:c>
      <x:c r="D178" s="12" t="str">
        <x:v>Validate P26-REQ-177 using deterministic normal, boundary, invalid-unit, override, changed-library, and permission scenarios as applicable.</x:v>
      </x:c>
      <x:c r="E178" s="12" t="str">
        <x:v>Calculated outputs, units, lineage and approvals match the controlled formula/rule; invalid inputs and unauthorized overrides are blocked.</x:v>
      </x:c>
      <x:c r="F178" s="12" t="str">
        <x:v>Planned</x:v>
      </x:c>
    </x:row>
    <x:row r="179">
      <x:c r="A179" s="12" t="str">
        <x:v>P26-TST-178</x:v>
      </x:c>
      <x:c r="B179" s="12" t="str">
        <x:v>P26-REQ-178</x:v>
      </x:c>
      <x:c r="C179" s="12" t="str">
        <x:v>Contingency</x:v>
      </x:c>
      <x:c r="D179" s="12" t="str">
        <x:v>Validate P26-REQ-178 using deterministic normal, boundary, invalid-unit, override, changed-library, and permission scenarios as applicable.</x:v>
      </x:c>
      <x:c r="E179" s="12" t="str">
        <x:v>Calculated outputs, units, lineage and approvals match the controlled formula/rule; invalid inputs and unauthorized overrides are blocked.</x:v>
      </x:c>
      <x:c r="F179" s="12" t="str">
        <x:v>Planned</x:v>
      </x:c>
    </x:row>
    <x:row r="180">
      <x:c r="A180" s="12" t="str">
        <x:v>P26-TST-179</x:v>
      </x:c>
      <x:c r="B180" s="12" t="str">
        <x:v>P26-REQ-179</x:v>
      </x:c>
      <x:c r="C180" s="12" t="str">
        <x:v>Markup</x:v>
      </x:c>
      <x:c r="D180" s="12" t="str">
        <x:v>Validate P26-REQ-179 using deterministic normal, boundary, invalid-unit, override, changed-library, and permission scenarios as applicable.</x:v>
      </x:c>
      <x:c r="E180" s="12" t="str">
        <x:v>Calculated outputs, units, lineage and approvals match the controlled formula/rule; invalid inputs and unauthorized overrides are blocked.</x:v>
      </x:c>
      <x:c r="F180" s="12" t="str">
        <x:v>Planned</x:v>
      </x:c>
    </x:row>
    <x:row r="181">
      <x:c r="A181" s="12" t="str">
        <x:v>P26-TST-180</x:v>
      </x:c>
      <x:c r="B181" s="12" t="str">
        <x:v>P26-REQ-180</x:v>
      </x:c>
      <x:c r="C181" s="12" t="str">
        <x:v>Overhead &amp; Profit</x:v>
      </x:c>
      <x:c r="D181" s="12" t="str">
        <x:v>Validate P26-REQ-180 using deterministic normal, boundary, invalid-unit, override, changed-library, and permission scenarios as applicable.</x:v>
      </x:c>
      <x:c r="E181" s="12" t="str">
        <x:v>Calculated outputs, units, lineage and approvals match the controlled formula/rule; invalid inputs and unauthorized overrides are blocked.</x:v>
      </x:c>
      <x:c r="F181" s="12" t="str">
        <x:v>Planned</x:v>
      </x:c>
    </x:row>
    <x:row r="182">
      <x:c r="A182" s="12" t="str">
        <x:v>P26-TST-181</x:v>
      </x:c>
      <x:c r="B182" s="12" t="str">
        <x:v>P26-REQ-181</x:v>
      </x:c>
      <x:c r="C182" s="12" t="str">
        <x:v>Tax &amp; Bond</x:v>
      </x:c>
      <x:c r="D182" s="12" t="str">
        <x:v>Validate P26-REQ-181 using deterministic normal, boundary, invalid-unit, override, changed-library, and permission scenarios as applicable.</x:v>
      </x:c>
      <x:c r="E182" s="12" t="str">
        <x:v>Calculated outputs, units, lineage and approvals match the controlled formula/rule; invalid inputs and unauthorized overrides are blocked.</x:v>
      </x:c>
      <x:c r="F182" s="12" t="str">
        <x:v>Planned</x:v>
      </x:c>
    </x:row>
    <x:row r="183">
      <x:c r="A183" s="12" t="str">
        <x:v>P26-TST-182</x:v>
      </x:c>
      <x:c r="B183" s="12" t="str">
        <x:v>P26-REQ-182</x:v>
      </x:c>
      <x:c r="C183" s="12" t="str">
        <x:v>Unit Price</x:v>
      </x:c>
      <x:c r="D183" s="12" t="str">
        <x:v>Validate P26-REQ-182 using deterministic normal, boundary, invalid-unit, override, changed-library, and permission scenarios as applicable.</x:v>
      </x:c>
      <x:c r="E183" s="12" t="str">
        <x:v>Calculated outputs, units, lineage and approvals match the controlled formula/rule; invalid inputs and unauthorized overrides are blocked.</x:v>
      </x:c>
      <x:c r="F183" s="12" t="str">
        <x:v>Planned</x:v>
      </x:c>
    </x:row>
    <x:row r="184">
      <x:c r="A184" s="12" t="str">
        <x:v>P26-TST-183</x:v>
      </x:c>
      <x:c r="B184" s="12" t="str">
        <x:v>P26-REQ-183</x:v>
      </x:c>
      <x:c r="C184" s="12" t="str">
        <x:v>Bid Price</x:v>
      </x:c>
      <x:c r="D184" s="12" t="str">
        <x:v>Validate P26-REQ-183 using deterministic normal, boundary, invalid-unit, override, changed-library, and permission scenarios as applicable.</x:v>
      </x:c>
      <x:c r="E184" s="12" t="str">
        <x:v>Calculated outputs, units, lineage and approvals match the controlled formula/rule; invalid inputs and unauthorized overrides are blocked.</x:v>
      </x:c>
      <x:c r="F184" s="12" t="str">
        <x:v>Planned</x:v>
      </x:c>
    </x:row>
    <x:row r="185">
      <x:c r="A185" s="12" t="str">
        <x:v>P26-TST-184</x:v>
      </x:c>
      <x:c r="B185" s="12" t="str">
        <x:v>P26-REQ-184</x:v>
      </x:c>
      <x:c r="C185" s="12" t="str">
        <x:v>Low/High Range</x:v>
      </x:c>
      <x:c r="D185" s="12" t="str">
        <x:v>Validate P26-REQ-184 using deterministic normal, boundary, invalid-unit, override, changed-library, and permission scenarios as applicable.</x:v>
      </x:c>
      <x:c r="E185" s="12" t="str">
        <x:v>Calculated outputs, units, lineage and approvals match the controlled formula/rule; invalid inputs and unauthorized overrides are blocked.</x:v>
      </x:c>
      <x:c r="F185" s="12" t="str">
        <x:v>Planned</x:v>
      </x:c>
    </x:row>
    <x:row r="186">
      <x:c r="A186" s="12" t="str">
        <x:v>P26-TST-185</x:v>
      </x:c>
      <x:c r="B186" s="12" t="str">
        <x:v>P26-REQ-185</x:v>
      </x:c>
      <x:c r="C186" s="12" t="str">
        <x:v>Scenario Comparison</x:v>
      </x:c>
      <x:c r="D186" s="12" t="str">
        <x:v>Validate P26-REQ-185 using deterministic normal, boundary, invalid-unit, override, changed-library, and permission scenarios as applicable.</x:v>
      </x:c>
      <x:c r="E186" s="12" t="str">
        <x:v>Calculated outputs, units, lineage and approvals match the controlled formula/rule; invalid inputs and unauthorized overrides are blocked.</x:v>
      </x:c>
      <x:c r="F186" s="12" t="str">
        <x:v>Planned</x:v>
      </x:c>
    </x:row>
    <x:row r="187">
      <x:c r="A187" s="12" t="str">
        <x:v>P26-TST-186</x:v>
      </x:c>
      <x:c r="B187" s="12" t="str">
        <x:v>P26-REQ-186</x:v>
      </x:c>
      <x:c r="C187" s="12" t="str">
        <x:v>Estimate Confidence</x:v>
      </x:c>
      <x:c r="D187" s="12" t="str">
        <x:v>Validate P26-REQ-186 using deterministic normal, boundary, invalid-unit, override, changed-library, and permission scenarios as applicable.</x:v>
      </x:c>
      <x:c r="E187" s="12" t="str">
        <x:v>Calculated outputs, units, lineage and approvals match the controlled formula/rule; invalid inputs and unauthorized overrides are blocked.</x:v>
      </x:c>
      <x:c r="F187" s="12" t="str">
        <x:v>Planned</x:v>
      </x:c>
    </x:row>
    <x:row r="188">
      <x:c r="A188" s="12" t="str">
        <x:v>P26-TST-187</x:v>
      </x:c>
      <x:c r="B188" s="12" t="str">
        <x:v>P26-REQ-187</x:v>
      </x:c>
      <x:c r="C188" s="12" t="str">
        <x:v>Regional Pricing</x:v>
      </x:c>
      <x:c r="D188" s="12" t="str">
        <x:v>Validate P26-REQ-187 using deterministic normal, boundary, invalid-unit, override, changed-library, and permission scenarios as applicable.</x:v>
      </x:c>
      <x:c r="E188" s="12" t="str">
        <x:v>Calculated outputs, units, lineage and approvals match the controlled formula/rule; invalid inputs and unauthorized overrides are blocked.</x:v>
      </x:c>
      <x:c r="F188" s="12" t="str">
        <x:v>Planned</x:v>
      </x:c>
    </x:row>
    <x:row r="189">
      <x:c r="A189" s="12" t="str">
        <x:v>P26-TST-188</x:v>
      </x:c>
      <x:c r="B189" s="12" t="str">
        <x:v>P26-REQ-188</x:v>
      </x:c>
      <x:c r="C189" s="12" t="str">
        <x:v>Vendor Quote Override</x:v>
      </x:c>
      <x:c r="D189" s="12" t="str">
        <x:v>Validate P26-REQ-188 using deterministic normal, boundary, invalid-unit, override, changed-library, and permission scenarios as applicable.</x:v>
      </x:c>
      <x:c r="E189" s="12" t="str">
        <x:v>Calculated outputs, units, lineage and approvals match the controlled formula/rule; invalid inputs and unauthorized overrides are blocked.</x:v>
      </x:c>
      <x:c r="F189" s="12" t="str">
        <x:v>Planned</x:v>
      </x:c>
    </x:row>
    <x:row r="190">
      <x:c r="A190" s="12" t="str">
        <x:v>P26-TST-189</x:v>
      </x:c>
      <x:c r="B190" s="12" t="str">
        <x:v>P26-REQ-189</x:v>
      </x:c>
      <x:c r="C190" s="12" t="str">
        <x:v>Snapshot Reproducibility</x:v>
      </x:c>
      <x:c r="D190" s="12" t="str">
        <x:v>Validate P26-REQ-189 using deterministic normal, boundary, invalid-unit, override, changed-library, and permission scenarios as applicable.</x:v>
      </x:c>
      <x:c r="E190" s="12" t="str">
        <x:v>Calculated outputs, units, lineage and approvals match the controlled formula/rule; invalid inputs and unauthorized overrides are blocked.</x:v>
      </x:c>
      <x:c r="F190" s="12" t="str">
        <x:v>Planned</x:v>
      </x:c>
    </x:row>
    <x:row r="191">
      <x:c r="A191" s="12" t="str">
        <x:v>P26-TST-190</x:v>
      </x:c>
      <x:c r="B191" s="12" t="str">
        <x:v>P26-REQ-190</x:v>
      </x:c>
      <x:c r="C191" s="12" t="str">
        <x:v>Service Catalog Writeback</x:v>
      </x:c>
      <x:c r="D191" s="12" t="str">
        <x:v>Validate P26-REQ-190 using deterministic normal, boundary, invalid-unit, override, changed-library, and permission scenarios as applicable.</x:v>
      </x:c>
      <x:c r="E191" s="12" t="str">
        <x:v>Calculated outputs, units, lineage and approvals match the controlled formula/rule; invalid inputs and unauthorized overrides are blocked.</x:v>
      </x:c>
      <x:c r="F191" s="12" t="str">
        <x:v>Planned</x:v>
      </x:c>
    </x:row>
    <x:row r="192">
      <x:c r="A192" s="12" t="str">
        <x:v>P26-TST-191</x:v>
      </x:c>
      <x:c r="B192" s="12" t="str">
        <x:v>P26-REQ-191</x:v>
      </x:c>
      <x:c r="C192" s="12" t="str">
        <x:v>AI Estimate Assist</x:v>
      </x:c>
      <x:c r="D192" s="12" t="str">
        <x:v>Validate P26-REQ-191 using deterministic normal, boundary, invalid-unit, override, changed-library, and permission scenarios as applicable.</x:v>
      </x:c>
      <x:c r="E192" s="12" t="str">
        <x:v>Calculated outputs, units, lineage and approvals match the controlled formula/rule; invalid inputs and unauthorized overrides are blocked.</x:v>
      </x:c>
      <x:c r="F192" s="12" t="str">
        <x:v>Planned</x:v>
      </x:c>
    </x:row>
    <x:row r="193">
      <x:c r="A193" s="12" t="str">
        <x:v>P26-TST-192</x:v>
      </x:c>
      <x:c r="B193" s="12" t="str">
        <x:v>P26-REQ-192</x:v>
      </x:c>
      <x:c r="C193" s="12" t="str">
        <x:v>Estimate Review &amp; Approval</x:v>
      </x:c>
      <x:c r="D193" s="12" t="str">
        <x:v>Validate P26-REQ-192 using deterministic normal, boundary, invalid-unit, override, changed-library, and permission scenarios as applicable.</x:v>
      </x:c>
      <x:c r="E193" s="12" t="str">
        <x:v>Calculated outputs, units, lineage and approvals match the controlled formula/rule; invalid inputs and unauthorized overrides are blocked.</x:v>
      </x:c>
      <x:c r="F193" s="12" t="str">
        <x:v>Planned</x:v>
      </x:c>
    </x:row>
    <x:row r="194">
      <x:c r="A194" s="12" t="str">
        <x:v>P26-TST-193</x:v>
      </x:c>
      <x:c r="B194" s="12" t="str">
        <x:v>P26-REQ-193</x:v>
      </x:c>
      <x:c r="C194" s="12" t="str">
        <x:v>Estimate Export</x:v>
      </x:c>
      <x:c r="D194" s="12" t="str">
        <x:v>Validate P26-REQ-193 using deterministic normal, boundary, invalid-unit, override, changed-library, and permission scenarios as applicable.</x:v>
      </x:c>
      <x:c r="E194" s="12" t="str">
        <x:v>Calculated outputs, units, lineage and approvals match the controlled formula/rule; invalid inputs and unauthorized overrides are blocked.</x:v>
      </x:c>
      <x:c r="F194" s="12" t="str">
        <x:v>Planned</x:v>
      </x:c>
    </x:row>
    <x:row r="195">
      <x:c r="A195" s="12" t="str">
        <x:v>P26-TST-194</x:v>
      </x:c>
      <x:c r="B195" s="12" t="str">
        <x:v>P26-REQ-194</x:v>
      </x:c>
      <x:c r="C195" s="12" t="str">
        <x:v>Proposal Handoff</x:v>
      </x:c>
      <x:c r="D195" s="12" t="str">
        <x:v>Validate P26-REQ-194 using deterministic normal, boundary, invalid-unit, override, changed-library, and permission scenarios as applicable.</x:v>
      </x:c>
      <x:c r="E195" s="12" t="str">
        <x:v>Calculated outputs, units, lineage and approvals match the controlled formula/rule; invalid inputs and unauthorized overrides are blocked.</x:v>
      </x:c>
      <x:c r="F195" s="12" t="str">
        <x:v>Planned</x:v>
      </x:c>
    </x:row>
    <x:row r="196">
      <x:c r="A196" s="12" t="str">
        <x:v>P26-TST-195</x:v>
      </x:c>
      <x:c r="B196" s="12" t="str">
        <x:v>P26-REQ-195</x:v>
      </x:c>
      <x:c r="C196" s="12" t="str">
        <x:v>Job Cost Baseline</x:v>
      </x:c>
      <x:c r="D196" s="12" t="str">
        <x:v>Validate P26-REQ-195 using deterministic normal, boundary, invalid-unit, override, changed-library, and permission scenarios as applicable.</x:v>
      </x:c>
      <x:c r="E196" s="12" t="str">
        <x:v>Calculated outputs, units, lineage and approvals match the controlled formula/rule; invalid inputs and unauthorized overrides are blocked.</x:v>
      </x:c>
      <x:c r="F196" s="12" t="str">
        <x:v>Planned</x:v>
      </x:c>
    </x:row>
    <x:row r="197">
      <x:c r="A197" s="12" t="str">
        <x:v>P26-TST-196</x:v>
      </x:c>
      <x:c r="B197" s="12" t="str">
        <x:v>P26-REQ-196</x:v>
      </x:c>
      <x:c r="C197" s="12" t="str">
        <x:v>Audit &amp; Traceability</x:v>
      </x:c>
      <x:c r="D197" s="12" t="str">
        <x:v>Validate P26-REQ-196 using deterministic normal, boundary, invalid-unit, override, changed-library, and permission scenarios as applicable.</x:v>
      </x:c>
      <x:c r="E197" s="12" t="str">
        <x:v>Calculated outputs, units, lineage and approvals match the controlled formula/rule; invalid inputs and unauthorized overrides are blocked.</x:v>
      </x:c>
      <x:c r="F197" s="12" t="str">
        <x:v>Planned</x:v>
      </x:c>
    </x:row>
    <x:row r="198">
      <x:c r="A198" s="12" t="str">
        <x:v>P26-TST-197</x:v>
      </x:c>
      <x:c r="B198" s="12" t="str">
        <x:v>P26-REQ-197</x:v>
      </x:c>
      <x:c r="C198" s="12" t="str">
        <x:v>Estimate Lifecycle</x:v>
      </x:c>
      <x:c r="D198" s="12" t="str">
        <x:v>Validate P26-REQ-197 using deterministic normal, boundary, invalid-unit, override, changed-library, and permission scenarios as applicable.</x:v>
      </x:c>
      <x:c r="E198" s="12" t="str">
        <x:v>Calculated outputs, units, lineage and approvals match the controlled formula/rule; invalid inputs and unauthorized overrides are blocked.</x:v>
      </x:c>
      <x:c r="F198" s="12" t="str">
        <x:v>Planned</x:v>
      </x:c>
    </x:row>
    <x:row r="199">
      <x:c r="A199" s="12" t="str">
        <x:v>P26-TST-198</x:v>
      </x:c>
      <x:c r="B199" s="12" t="str">
        <x:v>P26-REQ-198</x:v>
      </x:c>
      <x:c r="C199" s="12" t="str">
        <x:v>Estimate Versions</x:v>
      </x:c>
      <x:c r="D199" s="12" t="str">
        <x:v>Validate P26-REQ-198 using deterministic normal, boundary, invalid-unit, override, changed-library, and permission scenarios as applicable.</x:v>
      </x:c>
      <x:c r="E199" s="12" t="str">
        <x:v>Calculated outputs, units, lineage and approvals match the controlled formula/rule; invalid inputs and unauthorized overrides are blocked.</x:v>
      </x:c>
      <x:c r="F199" s="12" t="str">
        <x:v>Planned</x:v>
      </x:c>
    </x:row>
    <x:row r="200">
      <x:c r="A200" s="12" t="str">
        <x:v>P26-TST-199</x:v>
      </x:c>
      <x:c r="B200" s="12" t="str">
        <x:v>P26-REQ-199</x:v>
      </x:c>
      <x:c r="C200" s="12" t="str">
        <x:v>Estimate Templates</x:v>
      </x:c>
      <x:c r="D200" s="12" t="str">
        <x:v>Validate P26-REQ-199 using deterministic normal, boundary, invalid-unit, override, changed-library, and permission scenarios as applicable.</x:v>
      </x:c>
      <x:c r="E200" s="12" t="str">
        <x:v>Calculated outputs, units, lineage and approvals match the controlled formula/rule; invalid inputs and unauthorized overrides are blocked.</x:v>
      </x:c>
      <x:c r="F200" s="12" t="str">
        <x:v>Planned</x:v>
      </x:c>
    </x:row>
    <x:row r="201">
      <x:c r="A201" s="12" t="str">
        <x:v>P26-TST-200</x:v>
      </x:c>
      <x:c r="B201" s="12" t="str">
        <x:v>P26-REQ-200</x:v>
      </x:c>
      <x:c r="C201" s="12" t="str">
        <x:v>Service Selection</x:v>
      </x:c>
      <x:c r="D201" s="12" t="str">
        <x:v>Validate P26-REQ-200 using deterministic normal, boundary, invalid-unit, override, changed-library, and permission scenarios as applicable.</x:v>
      </x:c>
      <x:c r="E201" s="12" t="str">
        <x:v>Calculated outputs, units, lineage and approvals match the controlled formula/rule; invalid inputs and unauthorized overrides are blocked.</x:v>
      </x:c>
      <x:c r="F201" s="12" t="str">
        <x:v>Planned</x:v>
      </x:c>
    </x:row>
    <x:row r="202">
      <x:c r="A202" s="12" t="str">
        <x:v>P26-TST-201</x:v>
      </x:c>
      <x:c r="B202" s="12" t="str">
        <x:v>P26-REQ-201</x:v>
      </x:c>
      <x:c r="C202" s="12" t="str">
        <x:v>Assembly Expansion</x:v>
      </x:c>
      <x:c r="D202" s="12" t="str">
        <x:v>Validate P26-REQ-201 using deterministic normal, boundary, invalid-unit, override, changed-library, and permission scenarios as applicable.</x:v>
      </x:c>
      <x:c r="E202" s="12" t="str">
        <x:v>Calculated outputs, units, lineage and approvals match the controlled formula/rule; invalid inputs and unauthorized overrides are blocked.</x:v>
      </x:c>
      <x:c r="F202" s="12" t="str">
        <x:v>Planned</x:v>
      </x:c>
    </x:row>
    <x:row r="203">
      <x:c r="A203" s="12" t="str">
        <x:v>P26-TST-202</x:v>
      </x:c>
      <x:c r="B203" s="12" t="str">
        <x:v>P26-REQ-202</x:v>
      </x:c>
      <x:c r="C203" s="12" t="str">
        <x:v>Quantity Input</x:v>
      </x:c>
      <x:c r="D203" s="12" t="str">
        <x:v>Validate P26-REQ-202 using deterministic normal, boundary, invalid-unit, override, changed-library, and permission scenarios as applicable.</x:v>
      </x:c>
      <x:c r="E203" s="12" t="str">
        <x:v>Calculated outputs, units, lineage and approvals match the controlled formula/rule; invalid inputs and unauthorized overrides are blocked.</x:v>
      </x:c>
      <x:c r="F203" s="12" t="str">
        <x:v>Planned</x:v>
      </x:c>
    </x:row>
    <x:row r="204">
      <x:c r="A204" s="12" t="str">
        <x:v>P26-TST-203</x:v>
      </x:c>
      <x:c r="B204" s="12" t="str">
        <x:v>P26-REQ-203</x:v>
      </x:c>
      <x:c r="C204" s="12" t="str">
        <x:v>Quantity Takeoff Intake</x:v>
      </x:c>
      <x:c r="D204" s="12" t="str">
        <x:v>Validate P26-REQ-203 using deterministic normal, boundary, invalid-unit, override, changed-library, and permission scenarios as applicable.</x:v>
      </x:c>
      <x:c r="E204" s="12" t="str">
        <x:v>Calculated outputs, units, lineage and approvals match the controlled formula/rule; invalid inputs and unauthorized overrides are blocked.</x:v>
      </x:c>
      <x:c r="F204" s="12" t="str">
        <x:v>Planned</x:v>
      </x:c>
    </x:row>
    <x:row r="205">
      <x:c r="A205" s="12" t="str">
        <x:v>P26-TST-204</x:v>
      </x:c>
      <x:c r="B205" s="12" t="str">
        <x:v>P26-REQ-204</x:v>
      </x:c>
      <x:c r="C205" s="12" t="str">
        <x:v>Labor Cost</x:v>
      </x:c>
      <x:c r="D205" s="12" t="str">
        <x:v>Validate P26-REQ-204 using deterministic normal, boundary, invalid-unit, override, changed-library, and permission scenarios as applicable.</x:v>
      </x:c>
      <x:c r="E205" s="12" t="str">
        <x:v>Calculated outputs, units, lineage and approvals match the controlled formula/rule; invalid inputs and unauthorized overrides are blocked.</x:v>
      </x:c>
      <x:c r="F205" s="12" t="str">
        <x:v>Planned</x:v>
      </x:c>
    </x:row>
    <x:row r="206">
      <x:c r="A206" s="12" t="str">
        <x:v>P26-TST-205</x:v>
      </x:c>
      <x:c r="B206" s="12" t="str">
        <x:v>P26-REQ-205</x:v>
      </x:c>
      <x:c r="C206" s="12" t="str">
        <x:v>Labor Burden</x:v>
      </x:c>
      <x:c r="D206" s="12" t="str">
        <x:v>Validate P26-REQ-205 using deterministic normal, boundary, invalid-unit, override, changed-library, and permission scenarios as applicable.</x:v>
      </x:c>
      <x:c r="E206" s="12" t="str">
        <x:v>Calculated outputs, units, lineage and approvals match the controlled formula/rule; invalid inputs and unauthorized overrides are blocked.</x:v>
      </x:c>
      <x:c r="F206" s="12" t="str">
        <x:v>Planned</x:v>
      </x:c>
    </x:row>
    <x:row r="207">
      <x:c r="A207" s="12" t="str">
        <x:v>P26-TST-206</x:v>
      </x:c>
      <x:c r="B207" s="12" t="str">
        <x:v>P26-REQ-206</x:v>
      </x:c>
      <x:c r="C207" s="12" t="str">
        <x:v>Crew Composition</x:v>
      </x:c>
      <x:c r="D207" s="12" t="str">
        <x:v>Validate P26-REQ-206 using deterministic normal, boundary, invalid-unit, override, changed-library, and permission scenarios as applicable.</x:v>
      </x:c>
      <x:c r="E207" s="12" t="str">
        <x:v>Calculated outputs, units, lineage and approvals match the controlled formula/rule; invalid inputs and unauthorized overrides are blocked.</x:v>
      </x:c>
      <x:c r="F207" s="12" t="str">
        <x:v>Planned</x:v>
      </x:c>
    </x:row>
    <x:row r="208">
      <x:c r="A208" s="12" t="str">
        <x:v>P26-TST-207</x:v>
      </x:c>
      <x:c r="B208" s="12" t="str">
        <x:v>P26-REQ-207</x:v>
      </x:c>
      <x:c r="C208" s="12" t="str">
        <x:v>Crew Size Recommendation</x:v>
      </x:c>
      <x:c r="D208" s="12" t="str">
        <x:v>Validate P26-REQ-207 using deterministic normal, boundary, invalid-unit, override, changed-library, and permission scenarios as applicable.</x:v>
      </x:c>
      <x:c r="E208" s="12" t="str">
        <x:v>Calculated outputs, units, lineage and approvals match the controlled formula/rule; invalid inputs and unauthorized overrides are blocked.</x:v>
      </x:c>
      <x:c r="F208" s="12" t="str">
        <x:v>Planned</x:v>
      </x:c>
    </x:row>
    <x:row r="209">
      <x:c r="A209" s="12" t="str">
        <x:v>P26-TST-208</x:v>
      </x:c>
      <x:c r="B209" s="12" t="str">
        <x:v>P26-REQ-208</x:v>
      </x:c>
      <x:c r="C209" s="12" t="str">
        <x:v>Equipment Selection</x:v>
      </x:c>
      <x:c r="D209" s="12" t="str">
        <x:v>Validate P26-REQ-208 using deterministic normal, boundary, invalid-unit, override, changed-library, and permission scenarios as applicable.</x:v>
      </x:c>
      <x:c r="E209" s="12" t="str">
        <x:v>Calculated outputs, units, lineage and approvals match the controlled formula/rule; invalid inputs and unauthorized overrides are blocked.</x:v>
      </x:c>
      <x:c r="F209" s="12" t="str">
        <x:v>Planned</x:v>
      </x:c>
    </x:row>
    <x:row r="210">
      <x:c r="A210" s="12" t="str">
        <x:v>P26-TST-209</x:v>
      </x:c>
      <x:c r="B210" s="12" t="str">
        <x:v>P26-REQ-209</x:v>
      </x:c>
      <x:c r="C210" s="12" t="str">
        <x:v>Equipment Cost</x:v>
      </x:c>
      <x:c r="D210" s="12" t="str">
        <x:v>Validate P26-REQ-209 using deterministic normal, boundary, invalid-unit, override, changed-library, and permission scenarios as applicable.</x:v>
      </x:c>
      <x:c r="E210" s="12" t="str">
        <x:v>Calculated outputs, units, lineage and approvals match the controlled formula/rule; invalid inputs and unauthorized overrides are blocked.</x:v>
      </x:c>
      <x:c r="F210" s="12" t="str">
        <x:v>Planned</x:v>
      </x:c>
    </x:row>
    <x:row r="211">
      <x:c r="A211" s="12" t="str">
        <x:v>P26-TST-210</x:v>
      </x:c>
      <x:c r="B211" s="12" t="str">
        <x:v>P26-REQ-210</x:v>
      </x:c>
      <x:c r="C211" s="12" t="str">
        <x:v>Equipment Rate Selection</x:v>
      </x:c>
      <x:c r="D211" s="12" t="str">
        <x:v>Validate P26-REQ-210 using deterministic normal, boundary, invalid-unit, override, changed-library, and permission scenarios as applicable.</x:v>
      </x:c>
      <x:c r="E211" s="12" t="str">
        <x:v>Calculated outputs, units, lineage and approvals match the controlled formula/rule; invalid inputs and unauthorized overrides are blocked.</x:v>
      </x:c>
      <x:c r="F211" s="12" t="str">
        <x:v>Planned</x:v>
      </x:c>
    </x:row>
    <x:row r="212">
      <x:c r="A212" s="12" t="str">
        <x:v>P26-TST-211</x:v>
      </x:c>
      <x:c r="B212" s="12" t="str">
        <x:v>P26-REQ-211</x:v>
      </x:c>
      <x:c r="C212" s="12" t="str">
        <x:v>Fuel Consumption</x:v>
      </x:c>
      <x:c r="D212" s="12" t="str">
        <x:v>Validate P26-REQ-211 using deterministic normal, boundary, invalid-unit, override, changed-library, and permission scenarios as applicable.</x:v>
      </x:c>
      <x:c r="E212" s="12" t="str">
        <x:v>Calculated outputs, units, lineage and approvals match the controlled formula/rule; invalid inputs and unauthorized overrides are blocked.</x:v>
      </x:c>
      <x:c r="F212" s="12" t="str">
        <x:v>Planned</x:v>
      </x:c>
    </x:row>
    <x:row r="213">
      <x:c r="A213" s="12" t="str">
        <x:v>P26-TST-212</x:v>
      </x:c>
      <x:c r="B213" s="12" t="str">
        <x:v>P26-REQ-212</x:v>
      </x:c>
      <x:c r="C213" s="12" t="str">
        <x:v>Truck Selection</x:v>
      </x:c>
      <x:c r="D213" s="12" t="str">
        <x:v>Validate P26-REQ-212 using deterministic normal, boundary, invalid-unit, override, changed-library, and permission scenarios as applicable.</x:v>
      </x:c>
      <x:c r="E213" s="12" t="str">
        <x:v>Calculated outputs, units, lineage and approvals match the controlled formula/rule; invalid inputs and unauthorized overrides are blocked.</x:v>
      </x:c>
      <x:c r="F213" s="12" t="str">
        <x:v>Planned</x:v>
      </x:c>
    </x:row>
    <x:row r="214">
      <x:c r="A214" s="12" t="str">
        <x:v>P26-TST-213</x:v>
      </x:c>
      <x:c r="B214" s="12" t="str">
        <x:v>P26-REQ-213</x:v>
      </x:c>
      <x:c r="C214" s="12" t="str">
        <x:v>Truck Cycle Calculation</x:v>
      </x:c>
      <x:c r="D214" s="12" t="str">
        <x:v>Validate P26-REQ-213 using deterministic normal, boundary, invalid-unit, override, changed-library, and permission scenarios as applicable.</x:v>
      </x:c>
      <x:c r="E214" s="12" t="str">
        <x:v>Calculated outputs, units, lineage and approvals match the controlled formula/rule; invalid inputs and unauthorized overrides are blocked.</x:v>
      </x:c>
      <x:c r="F214" s="12" t="str">
        <x:v>Planned</x:v>
      </x:c>
    </x:row>
    <x:row r="215">
      <x:c r="A215" s="12" t="str">
        <x:v>P26-TST-214</x:v>
      </x:c>
      <x:c r="B215" s="12" t="str">
        <x:v>P26-REQ-214</x:v>
      </x:c>
      <x:c r="C215" s="12" t="str">
        <x:v>Truck Count</x:v>
      </x:c>
      <x:c r="D215" s="12" t="str">
        <x:v>Validate P26-REQ-214 using deterministic normal, boundary, invalid-unit, override, changed-library, and permission scenarios as applicable.</x:v>
      </x:c>
      <x:c r="E215" s="12" t="str">
        <x:v>Calculated outputs, units, lineage and approvals match the controlled formula/rule; invalid inputs and unauthorized overrides are blocked.</x:v>
      </x:c>
      <x:c r="F215" s="12" t="str">
        <x:v>Planned</x:v>
      </x:c>
    </x:row>
    <x:row r="216">
      <x:c r="A216" s="12" t="str">
        <x:v>P26-TST-215</x:v>
      </x:c>
      <x:c r="B216" s="12" t="str">
        <x:v>P26-REQ-215</x:v>
      </x:c>
      <x:c r="C216" s="12" t="str">
        <x:v>Haul Distance</x:v>
      </x:c>
      <x:c r="D216" s="12" t="str">
        <x:v>Validate P26-REQ-215 using deterministic normal, boundary, invalid-unit, override, changed-library, and permission scenarios as applicable.</x:v>
      </x:c>
      <x:c r="E216" s="12" t="str">
        <x:v>Calculated outputs, units, lineage and approvals match the controlled formula/rule; invalid inputs and unauthorized overrides are blocked.</x:v>
      </x:c>
      <x:c r="F216" s="12" t="str">
        <x:v>Planned</x:v>
      </x:c>
    </x:row>
    <x:row r="217">
      <x:c r="A217" s="12" t="str">
        <x:v>P26-TST-216</x:v>
      </x:c>
      <x:c r="B217" s="12" t="str">
        <x:v>P26-REQ-216</x:v>
      </x:c>
      <x:c r="C217" s="12" t="str">
        <x:v>Disposal Cost</x:v>
      </x:c>
      <x:c r="D217" s="12" t="str">
        <x:v>Validate P26-REQ-216 using deterministic normal, boundary, invalid-unit, override, changed-library, and permission scenarios as applicable.</x:v>
      </x:c>
      <x:c r="E217" s="12" t="str">
        <x:v>Calculated outputs, units, lineage and approvals match the controlled formula/rule; invalid inputs and unauthorized overrides are blocked.</x:v>
      </x:c>
      <x:c r="F217" s="12" t="str">
        <x:v>Planned</x:v>
      </x:c>
    </x:row>
    <x:row r="218">
      <x:c r="A218" s="12" t="str">
        <x:v>P26-TST-217</x:v>
      </x:c>
      <x:c r="B218" s="12" t="str">
        <x:v>P26-REQ-217</x:v>
      </x:c>
      <x:c r="C218" s="12" t="str">
        <x:v>Material Cost</x:v>
      </x:c>
      <x:c r="D218" s="12" t="str">
        <x:v>Validate P26-REQ-217 using deterministic normal, boundary, invalid-unit, override, changed-library, and permission scenarios as applicable.</x:v>
      </x:c>
      <x:c r="E218" s="12" t="str">
        <x:v>Calculated outputs, units, lineage and approvals match the controlled formula/rule; invalid inputs and unauthorized overrides are blocked.</x:v>
      </x:c>
      <x:c r="F218" s="12" t="str">
        <x:v>Planned</x:v>
      </x:c>
    </x:row>
    <x:row r="219">
      <x:c r="A219" s="12" t="str">
        <x:v>P26-TST-218</x:v>
      </x:c>
      <x:c r="B219" s="12" t="str">
        <x:v>P26-REQ-218</x:v>
      </x:c>
      <x:c r="C219" s="12" t="str">
        <x:v>Material Waste</x:v>
      </x:c>
      <x:c r="D219" s="12" t="str">
        <x:v>Validate P26-REQ-218 using deterministic normal, boundary, invalid-unit, override, changed-library, and permission scenarios as applicable.</x:v>
      </x:c>
      <x:c r="E219" s="12" t="str">
        <x:v>Calculated outputs, units, lineage and approvals match the controlled formula/rule; invalid inputs and unauthorized overrides are blocked.</x:v>
      </x:c>
      <x:c r="F219" s="12" t="str">
        <x:v>Planned</x:v>
      </x:c>
    </x:row>
    <x:row r="220">
      <x:c r="A220" s="12" t="str">
        <x:v>P26-TST-219</x:v>
      </x:c>
      <x:c r="B220" s="12" t="str">
        <x:v>P26-REQ-219</x:v>
      </x:c>
      <x:c r="C220" s="12" t="str">
        <x:v>Subcontract Cost</x:v>
      </x:c>
      <x:c r="D220" s="12" t="str">
        <x:v>Validate P26-REQ-219 using deterministic normal, boundary, invalid-unit, override, changed-library, and permission scenarios as applicable.</x:v>
      </x:c>
      <x:c r="E220" s="12" t="str">
        <x:v>Calculated outputs, units, lineage and approvals match the controlled formula/rule; invalid inputs and unauthorized overrides are blocked.</x:v>
      </x:c>
      <x:c r="F220" s="12" t="str">
        <x:v>Planned</x:v>
      </x:c>
    </x:row>
    <x:row r="221">
      <x:c r="A221" s="12" t="str">
        <x:v>P26-TST-220</x:v>
      </x:c>
      <x:c r="B221" s="12" t="str">
        <x:v>P26-REQ-220</x:v>
      </x:c>
      <x:c r="C221" s="12" t="str">
        <x:v>Production Rate</x:v>
      </x:c>
      <x:c r="D221" s="12" t="str">
        <x:v>Validate P26-REQ-220 using deterministic normal, boundary, invalid-unit, override, changed-library, and permission scenarios as applicable.</x:v>
      </x:c>
      <x:c r="E221" s="12" t="str">
        <x:v>Calculated outputs, units, lineage and approvals match the controlled formula/rule; invalid inputs and unauthorized overrides are blocked.</x:v>
      </x:c>
      <x:c r="F221" s="12" t="str">
        <x:v>Planned</x:v>
      </x:c>
    </x:row>
    <x:row r="222">
      <x:c r="A222" s="12" t="str">
        <x:v>P26-TST-221</x:v>
      </x:c>
      <x:c r="B222" s="12" t="str">
        <x:v>P26-REQ-221</x:v>
      </x:c>
      <x:c r="C222" s="12" t="str">
        <x:v>Production Modifiers</x:v>
      </x:c>
      <x:c r="D222" s="12" t="str">
        <x:v>Validate P26-REQ-221 using deterministic normal, boundary, invalid-unit, override, changed-library, and permission scenarios as applicable.</x:v>
      </x:c>
      <x:c r="E222" s="12" t="str">
        <x:v>Calculated outputs, units, lineage and approvals match the controlled formula/rule; invalid inputs and unauthorized overrides are blocked.</x:v>
      </x:c>
      <x:c r="F222" s="12" t="str">
        <x:v>Planned</x:v>
      </x:c>
    </x:row>
    <x:row r="223">
      <x:c r="A223" s="12" t="str">
        <x:v>P26-TST-222</x:v>
      </x:c>
      <x:c r="B223" s="12" t="str">
        <x:v>P26-REQ-222</x:v>
      </x:c>
      <x:c r="C223" s="12" t="str">
        <x:v>Duration Calculation</x:v>
      </x:c>
      <x:c r="D223" s="12" t="str">
        <x:v>Validate P26-REQ-222 using deterministic normal, boundary, invalid-unit, override, changed-library, and permission scenarios as applicable.</x:v>
      </x:c>
      <x:c r="E223" s="12" t="str">
        <x:v>Calculated outputs, units, lineage and approvals match the controlled formula/rule; invalid inputs and unauthorized overrides are blocked.</x:v>
      </x:c>
      <x:c r="F223" s="12" t="str">
        <x:v>Planned</x:v>
      </x:c>
    </x:row>
    <x:row r="224">
      <x:c r="A224" s="12" t="str">
        <x:v>P26-TST-223</x:v>
      </x:c>
      <x:c r="B224" s="12" t="str">
        <x:v>P26-REQ-223</x:v>
      </x:c>
      <x:c r="C224" s="12" t="str">
        <x:v>Work Hours &amp; Shifts</x:v>
      </x:c>
      <x:c r="D224" s="12" t="str">
        <x:v>Validate P26-REQ-223 using deterministic normal, boundary, invalid-unit, override, changed-library, and permission scenarios as applicable.</x:v>
      </x:c>
      <x:c r="E224" s="12" t="str">
        <x:v>Calculated outputs, units, lineage and approvals match the controlled formula/rule; invalid inputs and unauthorized overrides are blocked.</x:v>
      </x:c>
      <x:c r="F224" s="12" t="str">
        <x:v>Planned</x:v>
      </x:c>
    </x:row>
    <x:row r="225">
      <x:c r="A225" s="12" t="str">
        <x:v>P26-TST-224</x:v>
      </x:c>
      <x:c r="B225" s="12" t="str">
        <x:v>P26-REQ-224</x:v>
      </x:c>
      <x:c r="C225" s="12" t="str">
        <x:v>Mobilization</x:v>
      </x:c>
      <x:c r="D225" s="12" t="str">
        <x:v>Validate P26-REQ-224 using deterministic normal, boundary, invalid-unit, override, changed-library, and permission scenarios as applicable.</x:v>
      </x:c>
      <x:c r="E225" s="12" t="str">
        <x:v>Calculated outputs, units, lineage and approvals match the controlled formula/rule; invalid inputs and unauthorized overrides are blocked.</x:v>
      </x:c>
      <x:c r="F225" s="12" t="str">
        <x:v>Planned</x:v>
      </x:c>
    </x:row>
    <x:row r="226">
      <x:c r="A226" s="12" t="str">
        <x:v>P26-TST-225</x:v>
      </x:c>
      <x:c r="B226" s="12" t="str">
        <x:v>P26-REQ-225</x:v>
      </x:c>
      <x:c r="C226" s="12" t="str">
        <x:v>Demobilization</x:v>
      </x:c>
      <x:c r="D226" s="12" t="str">
        <x:v>Validate P26-REQ-225 using deterministic normal, boundary, invalid-unit, override, changed-library, and permission scenarios as applicable.</x:v>
      </x:c>
      <x:c r="E226" s="12" t="str">
        <x:v>Calculated outputs, units, lineage and approvals match the controlled formula/rule; invalid inputs and unauthorized overrides are blocked.</x:v>
      </x:c>
      <x:c r="F226" s="12" t="str">
        <x:v>Planned</x:v>
      </x:c>
    </x:row>
    <x:row r="227">
      <x:c r="A227" s="12" t="str">
        <x:v>P26-TST-226</x:v>
      </x:c>
      <x:c r="B227" s="12" t="str">
        <x:v>P26-REQ-226</x:v>
      </x:c>
      <x:c r="C227" s="12" t="str">
        <x:v>Indirect Costs</x:v>
      </x:c>
      <x:c r="D227" s="12" t="str">
        <x:v>Validate P26-REQ-226 using deterministic normal, boundary, invalid-unit, override, changed-library, and permission scenarios as applicable.</x:v>
      </x:c>
      <x:c r="E227" s="12" t="str">
        <x:v>Calculated outputs, units, lineage and approvals match the controlled formula/rule; invalid inputs and unauthorized overrides are blocked.</x:v>
      </x:c>
      <x:c r="F227" s="12" t="str">
        <x:v>Planned</x:v>
      </x:c>
    </x:row>
    <x:row r="228">
      <x:c r="A228" s="12" t="str">
        <x:v>P26-TST-227</x:v>
      </x:c>
      <x:c r="B228" s="12" t="str">
        <x:v>P26-REQ-227</x:v>
      </x:c>
      <x:c r="C228" s="12" t="str">
        <x:v>Contingency</x:v>
      </x:c>
      <x:c r="D228" s="12" t="str">
        <x:v>Validate P26-REQ-227 using deterministic normal, boundary, invalid-unit, override, changed-library, and permission scenarios as applicable.</x:v>
      </x:c>
      <x:c r="E228" s="12" t="str">
        <x:v>Calculated outputs, units, lineage and approvals match the controlled formula/rule; invalid inputs and unauthorized overrides are blocked.</x:v>
      </x:c>
      <x:c r="F228" s="12" t="str">
        <x:v>Planned</x:v>
      </x:c>
    </x:row>
    <x:row r="229">
      <x:c r="A229" s="12" t="str">
        <x:v>P26-TST-228</x:v>
      </x:c>
      <x:c r="B229" s="12" t="str">
        <x:v>P26-REQ-228</x:v>
      </x:c>
      <x:c r="C229" s="12" t="str">
        <x:v>Markup</x:v>
      </x:c>
      <x:c r="D229" s="12" t="str">
        <x:v>Validate P26-REQ-228 using deterministic normal, boundary, invalid-unit, override, changed-library, and permission scenarios as applicable.</x:v>
      </x:c>
      <x:c r="E229" s="12" t="str">
        <x:v>Calculated outputs, units, lineage and approvals match the controlled formula/rule; invalid inputs and unauthorized overrides are blocked.</x:v>
      </x:c>
      <x:c r="F229" s="12" t="str">
        <x:v>Planned</x:v>
      </x:c>
    </x:row>
    <x:row r="230">
      <x:c r="A230" s="12" t="str">
        <x:v>P26-TST-229</x:v>
      </x:c>
      <x:c r="B230" s="12" t="str">
        <x:v>P26-REQ-229</x:v>
      </x:c>
      <x:c r="C230" s="12" t="str">
        <x:v>Overhead &amp; Profit</x:v>
      </x:c>
      <x:c r="D230" s="12" t="str">
        <x:v>Validate P26-REQ-229 using deterministic normal, boundary, invalid-unit, override, changed-library, and permission scenarios as applicable.</x:v>
      </x:c>
      <x:c r="E230" s="12" t="str">
        <x:v>Calculated outputs, units, lineage and approvals match the controlled formula/rule; invalid inputs and unauthorized overrides are blocked.</x:v>
      </x:c>
      <x:c r="F230" s="12" t="str">
        <x:v>Planned</x:v>
      </x:c>
    </x:row>
    <x:row r="231">
      <x:c r="A231" s="12" t="str">
        <x:v>P26-TST-230</x:v>
      </x:c>
      <x:c r="B231" s="12" t="str">
        <x:v>P26-REQ-230</x:v>
      </x:c>
      <x:c r="C231" s="12" t="str">
        <x:v>Tax &amp; Bond</x:v>
      </x:c>
      <x:c r="D231" s="12" t="str">
        <x:v>Validate P26-REQ-230 using deterministic normal, boundary, invalid-unit, override, changed-library, and permission scenarios as applicable.</x:v>
      </x:c>
      <x:c r="E231" s="12" t="str">
        <x:v>Calculated outputs, units, lineage and approvals match the controlled formula/rule; invalid inputs and unauthorized overrides are blocked.</x:v>
      </x:c>
      <x:c r="F231" s="12" t="str">
        <x:v>Planned</x:v>
      </x:c>
    </x:row>
    <x:row r="232">
      <x:c r="A232" s="12" t="str">
        <x:v>P26-TST-231</x:v>
      </x:c>
      <x:c r="B232" s="12" t="str">
        <x:v>P26-REQ-231</x:v>
      </x:c>
      <x:c r="C232" s="12" t="str">
        <x:v>Unit Price</x:v>
      </x:c>
      <x:c r="D232" s="12" t="str">
        <x:v>Validate P26-REQ-231 using deterministic normal, boundary, invalid-unit, override, changed-library, and permission scenarios as applicable.</x:v>
      </x:c>
      <x:c r="E232" s="12" t="str">
        <x:v>Calculated outputs, units, lineage and approvals match the controlled formula/rule; invalid inputs and unauthorized overrides are blocked.</x:v>
      </x:c>
      <x:c r="F232" s="12" t="str">
        <x:v>Planned</x:v>
      </x:c>
    </x:row>
    <x:row r="233">
      <x:c r="A233" s="12" t="str">
        <x:v>P26-TST-232</x:v>
      </x:c>
      <x:c r="B233" s="12" t="str">
        <x:v>P26-REQ-232</x:v>
      </x:c>
      <x:c r="C233" s="12" t="str">
        <x:v>Bid Price</x:v>
      </x:c>
      <x:c r="D233" s="12" t="str">
        <x:v>Validate P26-REQ-232 using deterministic normal, boundary, invalid-unit, override, changed-library, and permission scenarios as applicable.</x:v>
      </x:c>
      <x:c r="E233" s="12" t="str">
        <x:v>Calculated outputs, units, lineage and approvals match the controlled formula/rule; invalid inputs and unauthorized overrides are blocked.</x:v>
      </x:c>
      <x:c r="F233" s="12" t="str">
        <x:v>Planned</x:v>
      </x:c>
    </x:row>
    <x:row r="234">
      <x:c r="A234" s="12" t="str">
        <x:v>P26-TST-233</x:v>
      </x:c>
      <x:c r="B234" s="12" t="str">
        <x:v>P26-REQ-233</x:v>
      </x:c>
      <x:c r="C234" s="12" t="str">
        <x:v>Low/High Range</x:v>
      </x:c>
      <x:c r="D234" s="12" t="str">
        <x:v>Validate P26-REQ-233 using deterministic normal, boundary, invalid-unit, override, changed-library, and permission scenarios as applicable.</x:v>
      </x:c>
      <x:c r="E234" s="12" t="str">
        <x:v>Calculated outputs, units, lineage and approvals match the controlled formula/rule; invalid inputs and unauthorized overrides are blocked.</x:v>
      </x:c>
      <x:c r="F234" s="12" t="str">
        <x:v>Planned</x:v>
      </x:c>
    </x:row>
    <x:row r="235">
      <x:c r="A235" s="12" t="str">
        <x:v>P26-TST-234</x:v>
      </x:c>
      <x:c r="B235" s="12" t="str">
        <x:v>P26-REQ-234</x:v>
      </x:c>
      <x:c r="C235" s="12" t="str">
        <x:v>Scenario Comparison</x:v>
      </x:c>
      <x:c r="D235" s="12" t="str">
        <x:v>Validate P26-REQ-234 using deterministic normal, boundary, invalid-unit, override, changed-library, and permission scenarios as applicable.</x:v>
      </x:c>
      <x:c r="E235" s="12" t="str">
        <x:v>Calculated outputs, units, lineage and approvals match the controlled formula/rule; invalid inputs and unauthorized overrides are blocked.</x:v>
      </x:c>
      <x:c r="F235" s="12" t="str">
        <x:v>Planned</x:v>
      </x:c>
    </x:row>
    <x:row r="236">
      <x:c r="A236" s="12" t="str">
        <x:v>P26-TST-235</x:v>
      </x:c>
      <x:c r="B236" s="12" t="str">
        <x:v>P26-REQ-235</x:v>
      </x:c>
      <x:c r="C236" s="12" t="str">
        <x:v>Estimate Confidence</x:v>
      </x:c>
      <x:c r="D236" s="12" t="str">
        <x:v>Validate P26-REQ-235 using deterministic normal, boundary, invalid-unit, override, changed-library, and permission scenarios as applicable.</x:v>
      </x:c>
      <x:c r="E236" s="12" t="str">
        <x:v>Calculated outputs, units, lineage and approvals match the controlled formula/rule; invalid inputs and unauthorized overrides are blocked.</x:v>
      </x:c>
      <x:c r="F236" s="12" t="str">
        <x:v>Planned</x:v>
      </x:c>
    </x:row>
    <x:row r="237">
      <x:c r="A237" s="12" t="str">
        <x:v>P26-TST-236</x:v>
      </x:c>
      <x:c r="B237" s="12" t="str">
        <x:v>P26-REQ-236</x:v>
      </x:c>
      <x:c r="C237" s="12" t="str">
        <x:v>Regional Pricing</x:v>
      </x:c>
      <x:c r="D237" s="12" t="str">
        <x:v>Validate P26-REQ-236 using deterministic normal, boundary, invalid-unit, override, changed-library, and permission scenarios as applicable.</x:v>
      </x:c>
      <x:c r="E237" s="12" t="str">
        <x:v>Calculated outputs, units, lineage and approvals match the controlled formula/rule; invalid inputs and unauthorized overrides are blocked.</x:v>
      </x:c>
      <x:c r="F237" s="12" t="str">
        <x:v>Planned</x:v>
      </x:c>
    </x:row>
    <x:row r="238">
      <x:c r="A238" s="12" t="str">
        <x:v>P26-TST-237</x:v>
      </x:c>
      <x:c r="B238" s="12" t="str">
        <x:v>P26-REQ-237</x:v>
      </x:c>
      <x:c r="C238" s="12" t="str">
        <x:v>Vendor Quote Override</x:v>
      </x:c>
      <x:c r="D238" s="12" t="str">
        <x:v>Validate P26-REQ-237 using deterministic normal, boundary, invalid-unit, override, changed-library, and permission scenarios as applicable.</x:v>
      </x:c>
      <x:c r="E238" s="12" t="str">
        <x:v>Calculated outputs, units, lineage and approvals match the controlled formula/rule; invalid inputs and unauthorized overrides are blocked.</x:v>
      </x:c>
      <x:c r="F238" s="12" t="str">
        <x:v>Planned</x:v>
      </x:c>
    </x:row>
    <x:row r="239">
      <x:c r="A239" s="12" t="str">
        <x:v>P26-TST-238</x:v>
      </x:c>
      <x:c r="B239" s="12" t="str">
        <x:v>P26-REQ-238</x:v>
      </x:c>
      <x:c r="C239" s="12" t="str">
        <x:v>Snapshot Reproducibility</x:v>
      </x:c>
      <x:c r="D239" s="12" t="str">
        <x:v>Validate P26-REQ-238 using deterministic normal, boundary, invalid-unit, override, changed-library, and permission scenarios as applicable.</x:v>
      </x:c>
      <x:c r="E239" s="12" t="str">
        <x:v>Calculated outputs, units, lineage and approvals match the controlled formula/rule; invalid inputs and unauthorized overrides are blocked.</x:v>
      </x:c>
      <x:c r="F239" s="12" t="str">
        <x:v>Planned</x:v>
      </x:c>
    </x:row>
    <x:row r="240">
      <x:c r="A240" s="12" t="str">
        <x:v>P26-TST-239</x:v>
      </x:c>
      <x:c r="B240" s="12" t="str">
        <x:v>P26-REQ-239</x:v>
      </x:c>
      <x:c r="C240" s="12" t="str">
        <x:v>Service Catalog Writeback</x:v>
      </x:c>
      <x:c r="D240" s="12" t="str">
        <x:v>Validate P26-REQ-239 using deterministic normal, boundary, invalid-unit, override, changed-library, and permission scenarios as applicable.</x:v>
      </x:c>
      <x:c r="E240" s="12" t="str">
        <x:v>Calculated outputs, units, lineage and approvals match the controlled formula/rule; invalid inputs and unauthorized overrides are blocked.</x:v>
      </x:c>
      <x:c r="F240" s="12" t="str">
        <x:v>Planned</x:v>
      </x:c>
    </x:row>
    <x:row r="241">
      <x:c r="A241" s="12" t="str">
        <x:v>P26-TST-240</x:v>
      </x:c>
      <x:c r="B241" s="12" t="str">
        <x:v>P26-REQ-240</x:v>
      </x:c>
      <x:c r="C241" s="12" t="str">
        <x:v>AI Estimate Assist</x:v>
      </x:c>
      <x:c r="D241" s="12" t="str">
        <x:v>Validate P26-REQ-240 using deterministic normal, boundary, invalid-unit, override, changed-library, and permission scenarios as applicable.</x:v>
      </x:c>
      <x:c r="E241" s="12" t="str">
        <x:v>Calculated outputs, units, lineage and approvals match the controlled formula/rule; invalid inputs and unauthorized overrides are blocked.</x:v>
      </x:c>
      <x:c r="F241" s="12" t="str">
        <x:v>Planned</x:v>
      </x:c>
    </x:row>
    <x:row r="242">
      <x:c r="A242" s="12" t="str">
        <x:v>P26-TST-241</x:v>
      </x:c>
      <x:c r="B242" s="12" t="str">
        <x:v>P26-REQ-241</x:v>
      </x:c>
      <x:c r="C242" s="12" t="str">
        <x:v>Estimate Review &amp; Approval</x:v>
      </x:c>
      <x:c r="D242" s="12" t="str">
        <x:v>Validate P26-REQ-241 using deterministic normal, boundary, invalid-unit, override, changed-library, and permission scenarios as applicable.</x:v>
      </x:c>
      <x:c r="E242" s="12" t="str">
        <x:v>Calculated outputs, units, lineage and approvals match the controlled formula/rule; invalid inputs and unauthorized overrides are blocked.</x:v>
      </x:c>
      <x:c r="F242" s="12" t="str">
        <x:v>Planned</x:v>
      </x:c>
    </x:row>
    <x:row r="243">
      <x:c r="A243" s="12" t="str">
        <x:v>P26-TST-242</x:v>
      </x:c>
      <x:c r="B243" s="12" t="str">
        <x:v>P26-REQ-242</x:v>
      </x:c>
      <x:c r="C243" s="12" t="str">
        <x:v>Estimate Export</x:v>
      </x:c>
      <x:c r="D243" s="12" t="str">
        <x:v>Validate P26-REQ-242 using deterministic normal, boundary, invalid-unit, override, changed-library, and permission scenarios as applicable.</x:v>
      </x:c>
      <x:c r="E243" s="12" t="str">
        <x:v>Calculated outputs, units, lineage and approvals match the controlled formula/rule; invalid inputs and unauthorized overrides are blocked.</x:v>
      </x:c>
      <x:c r="F243" s="12" t="str">
        <x:v>Planned</x:v>
      </x:c>
    </x:row>
    <x:row r="244">
      <x:c r="A244" s="12" t="str">
        <x:v>P26-TST-243</x:v>
      </x:c>
      <x:c r="B244" s="12" t="str">
        <x:v>P26-REQ-243</x:v>
      </x:c>
      <x:c r="C244" s="12" t="str">
        <x:v>Proposal Handoff</x:v>
      </x:c>
      <x:c r="D244" s="12" t="str">
        <x:v>Validate P26-REQ-243 using deterministic normal, boundary, invalid-unit, override, changed-library, and permission scenarios as applicable.</x:v>
      </x:c>
      <x:c r="E244" s="12" t="str">
        <x:v>Calculated outputs, units, lineage and approvals match the controlled formula/rule; invalid inputs and unauthorized overrides are blocked.</x:v>
      </x:c>
      <x:c r="F244" s="12" t="str">
        <x:v>Planned</x:v>
      </x:c>
    </x:row>
    <x:row r="245">
      <x:c r="A245" s="12" t="str">
        <x:v>P26-TST-244</x:v>
      </x:c>
      <x:c r="B245" s="12" t="str">
        <x:v>P26-REQ-244</x:v>
      </x:c>
      <x:c r="C245" s="12" t="str">
        <x:v>Job Cost Baseline</x:v>
      </x:c>
      <x:c r="D245" s="12" t="str">
        <x:v>Validate P26-REQ-244 using deterministic normal, boundary, invalid-unit, override, changed-library, and permission scenarios as applicable.</x:v>
      </x:c>
      <x:c r="E245" s="12" t="str">
        <x:v>Calculated outputs, units, lineage and approvals match the controlled formula/rule; invalid inputs and unauthorized overrides are blocked.</x:v>
      </x:c>
      <x:c r="F245" s="12" t="str">
        <x:v>Planned</x:v>
      </x:c>
    </x:row>
    <x:row r="246">
      <x:c r="A246" s="12" t="str">
        <x:v>P26-TST-245</x:v>
      </x:c>
      <x:c r="B246" s="12" t="str">
        <x:v>P26-REQ-245</x:v>
      </x:c>
      <x:c r="C246" s="12" t="str">
        <x:v>Audit &amp; Traceability</x:v>
      </x:c>
      <x:c r="D246" s="12" t="str">
        <x:v>Validate P26-REQ-245 using deterministic normal, boundary, invalid-unit, override, changed-library, and permission scenarios as applicable.</x:v>
      </x:c>
      <x:c r="E246" s="12" t="str">
        <x:v>Calculated outputs, units, lineage and approvals match the controlled formula/rule; invalid inputs and unauthorized overrides are blocked.</x:v>
      </x:c>
      <x:c r="F246" s="12" t="str">
        <x:v>Planned</x:v>
      </x:c>
    </x:row>
    <x:row r="247">
      <x:c r="A247" s="12" t="str">
        <x:v>P26-TST-246</x:v>
      </x:c>
      <x:c r="B247" s="12" t="str">
        <x:v>P26-REQ-246</x:v>
      </x:c>
      <x:c r="C247" s="12" t="str">
        <x:v>Estimate Lifecycle</x:v>
      </x:c>
      <x:c r="D247" s="12" t="str">
        <x:v>Validate P26-REQ-246 using deterministic normal, boundary, invalid-unit, override, changed-library, and permission scenarios as applicable.</x:v>
      </x:c>
      <x:c r="E247" s="12" t="str">
        <x:v>Calculated outputs, units, lineage and approvals match the controlled formula/rule; invalid inputs and unauthorized overrides are blocked.</x:v>
      </x:c>
      <x:c r="F247" s="12" t="str">
        <x:v>Planned</x:v>
      </x:c>
    </x:row>
    <x:row r="248">
      <x:c r="A248" s="12" t="str">
        <x:v>P26-TST-247</x:v>
      </x:c>
      <x:c r="B248" s="12" t="str">
        <x:v>P26-REQ-247</x:v>
      </x:c>
      <x:c r="C248" s="12" t="str">
        <x:v>Estimate Versions</x:v>
      </x:c>
      <x:c r="D248" s="12" t="str">
        <x:v>Validate P26-REQ-247 using deterministic normal, boundary, invalid-unit, override, changed-library, and permission scenarios as applicable.</x:v>
      </x:c>
      <x:c r="E248" s="12" t="str">
        <x:v>Calculated outputs, units, lineage and approvals match the controlled formula/rule; invalid inputs and unauthorized overrides are blocked.</x:v>
      </x:c>
      <x:c r="F248" s="12" t="str">
        <x:v>Planned</x:v>
      </x:c>
    </x:row>
    <x:row r="249">
      <x:c r="A249" s="12" t="str">
        <x:v>P26-TST-248</x:v>
      </x:c>
      <x:c r="B249" s="12" t="str">
        <x:v>P26-REQ-248</x:v>
      </x:c>
      <x:c r="C249" s="12" t="str">
        <x:v>Estimate Templates</x:v>
      </x:c>
      <x:c r="D249" s="12" t="str">
        <x:v>Validate P26-REQ-248 using deterministic normal, boundary, invalid-unit, override, changed-library, and permission scenarios as applicable.</x:v>
      </x:c>
      <x:c r="E249" s="12" t="str">
        <x:v>Calculated outputs, units, lineage and approvals match the controlled formula/rule; invalid inputs and unauthorized overrides are blocked.</x:v>
      </x:c>
      <x:c r="F249" s="12" t="str">
        <x:v>Planned</x:v>
      </x:c>
    </x:row>
    <x:row r="250">
      <x:c r="A250" s="12" t="str">
        <x:v>P26-TST-249</x:v>
      </x:c>
      <x:c r="B250" s="12" t="str">
        <x:v>P26-REQ-249</x:v>
      </x:c>
      <x:c r="C250" s="12" t="str">
        <x:v>Service Selection</x:v>
      </x:c>
      <x:c r="D250" s="12" t="str">
        <x:v>Validate P26-REQ-249 using deterministic normal, boundary, invalid-unit, override, changed-library, and permission scenarios as applicable.</x:v>
      </x:c>
      <x:c r="E250" s="12" t="str">
        <x:v>Calculated outputs, units, lineage and approvals match the controlled formula/rule; invalid inputs and unauthorized overrides are blocked.</x:v>
      </x:c>
      <x:c r="F250" s="12" t="str">
        <x:v>Planned</x:v>
      </x:c>
    </x:row>
    <x:row r="251">
      <x:c r="A251" s="12" t="str">
        <x:v>P26-TST-250</x:v>
      </x:c>
      <x:c r="B251" s="12" t="str">
        <x:v>P26-REQ-250</x:v>
      </x:c>
      <x:c r="C251" s="12" t="str">
        <x:v>Assembly Expansion</x:v>
      </x:c>
      <x:c r="D251" s="12" t="str">
        <x:v>Validate P26-REQ-250 using deterministic normal, boundary, invalid-unit, override, changed-library, and permission scenarios as applicable.</x:v>
      </x:c>
      <x:c r="E251" s="12" t="str">
        <x:v>Calculated outputs, units, lineage and approvals match the controlled formula/rule; invalid inputs and unauthorized overrides are blocked.</x:v>
      </x:c>
      <x:c r="F251" s="12" t="str">
        <x:v>Planned</x:v>
      </x:c>
    </x:row>
    <x:row r="252">
      <x:c r="A252" s="12" t="str">
        <x:v>P26-TST-251</x:v>
      </x:c>
      <x:c r="B252" s="12" t="str">
        <x:v>P26-REQ-251</x:v>
      </x:c>
      <x:c r="C252" s="12" t="str">
        <x:v>Quantity Input</x:v>
      </x:c>
      <x:c r="D252" s="12" t="str">
        <x:v>Validate P26-REQ-251 using deterministic normal, boundary, invalid-unit, override, changed-library, and permission scenarios as applicable.</x:v>
      </x:c>
      <x:c r="E252" s="12" t="str">
        <x:v>Calculated outputs, units, lineage and approvals match the controlled formula/rule; invalid inputs and unauthorized overrides are blocked.</x:v>
      </x:c>
      <x:c r="F252" s="12" t="str">
        <x:v>Planned</x:v>
      </x:c>
    </x:row>
    <x:row r="253">
      <x:c r="A253" s="12" t="str">
        <x:v>P26-TST-252</x:v>
      </x:c>
      <x:c r="B253" s="12" t="str">
        <x:v>P26-REQ-252</x:v>
      </x:c>
      <x:c r="C253" s="12" t="str">
        <x:v>Quantity Takeoff Intake</x:v>
      </x:c>
      <x:c r="D253" s="12" t="str">
        <x:v>Validate P26-REQ-252 using deterministic normal, boundary, invalid-unit, override, changed-library, and permission scenarios as applicable.</x:v>
      </x:c>
      <x:c r="E253" s="12" t="str">
        <x:v>Calculated outputs, units, lineage and approvals match the controlled formula/rule; invalid inputs and unauthorized overrides are blocked.</x:v>
      </x:c>
      <x:c r="F253" s="12" t="str">
        <x:v>Planned</x:v>
      </x:c>
    </x:row>
    <x:row r="254">
      <x:c r="A254" s="12" t="str">
        <x:v>P26-TST-253</x:v>
      </x:c>
      <x:c r="B254" s="12" t="str">
        <x:v>P26-REQ-253</x:v>
      </x:c>
      <x:c r="C254" s="12" t="str">
        <x:v>Labor Cost</x:v>
      </x:c>
      <x:c r="D254" s="12" t="str">
        <x:v>Validate P26-REQ-253 using deterministic normal, boundary, invalid-unit, override, changed-library, and permission scenarios as applicable.</x:v>
      </x:c>
      <x:c r="E254" s="12" t="str">
        <x:v>Calculated outputs, units, lineage and approvals match the controlled formula/rule; invalid inputs and unauthorized overrides are blocked.</x:v>
      </x:c>
      <x:c r="F254" s="12" t="str">
        <x:v>Planned</x:v>
      </x:c>
    </x:row>
    <x:row r="255">
      <x:c r="A255" s="12" t="str">
        <x:v>P26-TST-254</x:v>
      </x:c>
      <x:c r="B255" s="12" t="str">
        <x:v>P26-REQ-254</x:v>
      </x:c>
      <x:c r="C255" s="12" t="str">
        <x:v>Labor Burden</x:v>
      </x:c>
      <x:c r="D255" s="12" t="str">
        <x:v>Validate P26-REQ-254 using deterministic normal, boundary, invalid-unit, override, changed-library, and permission scenarios as applicable.</x:v>
      </x:c>
      <x:c r="E255" s="12" t="str">
        <x:v>Calculated outputs, units, lineage and approvals match the controlled formula/rule; invalid inputs and unauthorized overrides are blocked.</x:v>
      </x:c>
      <x:c r="F255" s="12" t="str">
        <x:v>Planned</x:v>
      </x:c>
    </x:row>
    <x:row r="256">
      <x:c r="A256" s="12" t="str">
        <x:v>P26-TST-255</x:v>
      </x:c>
      <x:c r="B256" s="12" t="str">
        <x:v>P26-REQ-255</x:v>
      </x:c>
      <x:c r="C256" s="12" t="str">
        <x:v>Crew Composition</x:v>
      </x:c>
      <x:c r="D256" s="12" t="str">
        <x:v>Validate P26-REQ-255 using deterministic normal, boundary, invalid-unit, override, changed-library, and permission scenarios as applicable.</x:v>
      </x:c>
      <x:c r="E256" s="12" t="str">
        <x:v>Calculated outputs, units, lineage and approvals match the controlled formula/rule; invalid inputs and unauthorized overrides are blocked.</x:v>
      </x:c>
      <x:c r="F256" s="12" t="str">
        <x:v>Planned</x:v>
      </x:c>
    </x:row>
    <x:row r="257">
      <x:c r="A257" s="12" t="str">
        <x:v>P26-TST-256</x:v>
      </x:c>
      <x:c r="B257" s="12" t="str">
        <x:v>P26-REQ-256</x:v>
      </x:c>
      <x:c r="C257" s="12" t="str">
        <x:v>Crew Size Recommendation</x:v>
      </x:c>
      <x:c r="D257" s="12" t="str">
        <x:v>Validate P26-REQ-256 using deterministic normal, boundary, invalid-unit, override, changed-library, and permission scenarios as applicable.</x:v>
      </x:c>
      <x:c r="E257" s="12" t="str">
        <x:v>Calculated outputs, units, lineage and approvals match the controlled formula/rule; invalid inputs and unauthorized overrides are blocked.</x:v>
      </x:c>
      <x:c r="F257" s="12" t="str">
        <x:v>Planned</x:v>
      </x:c>
    </x:row>
    <x:row r="258">
      <x:c r="A258" s="12" t="str">
        <x:v>P26-TST-257</x:v>
      </x:c>
      <x:c r="B258" s="12" t="str">
        <x:v>P26-REQ-257</x:v>
      </x:c>
      <x:c r="C258" s="12" t="str">
        <x:v>Equipment Selection</x:v>
      </x:c>
      <x:c r="D258" s="12" t="str">
        <x:v>Validate P26-REQ-257 using deterministic normal, boundary, invalid-unit, override, changed-library, and permission scenarios as applicable.</x:v>
      </x:c>
      <x:c r="E258" s="12" t="str">
        <x:v>Calculated outputs, units, lineage and approvals match the controlled formula/rule; invalid inputs and unauthorized overrides are blocked.</x:v>
      </x:c>
      <x:c r="F258" s="12" t="str">
        <x:v>Planned</x:v>
      </x:c>
    </x:row>
    <x:row r="259">
      <x:c r="A259" s="12" t="str">
        <x:v>P26-TST-258</x:v>
      </x:c>
      <x:c r="B259" s="12" t="str">
        <x:v>P26-REQ-258</x:v>
      </x:c>
      <x:c r="C259" s="12" t="str">
        <x:v>Equipment Cost</x:v>
      </x:c>
      <x:c r="D259" s="12" t="str">
        <x:v>Validate P26-REQ-258 using deterministic normal, boundary, invalid-unit, override, changed-library, and permission scenarios as applicable.</x:v>
      </x:c>
      <x:c r="E259" s="12" t="str">
        <x:v>Calculated outputs, units, lineage and approvals match the controlled formula/rule; invalid inputs and unauthorized overrides are blocked.</x:v>
      </x:c>
      <x:c r="F259" s="12" t="str">
        <x:v>Planned</x:v>
      </x:c>
    </x:row>
    <x:row r="260">
      <x:c r="A260" s="12" t="str">
        <x:v>P26-TST-259</x:v>
      </x:c>
      <x:c r="B260" s="12" t="str">
        <x:v>P26-REQ-259</x:v>
      </x:c>
      <x:c r="C260" s="12" t="str">
        <x:v>Equipment Rate Selection</x:v>
      </x:c>
      <x:c r="D260" s="12" t="str">
        <x:v>Validate P26-REQ-259 using deterministic normal, boundary, invalid-unit, override, changed-library, and permission scenarios as applicable.</x:v>
      </x:c>
      <x:c r="E260" s="12" t="str">
        <x:v>Calculated outputs, units, lineage and approvals match the controlled formula/rule; invalid inputs and unauthorized overrides are blocked.</x:v>
      </x:c>
      <x:c r="F260" s="12" t="str">
        <x:v>Planned</x:v>
      </x:c>
    </x:row>
    <x:row r="261">
      <x:c r="A261" s="12" t="str">
        <x:v>P26-TST-260</x:v>
      </x:c>
      <x:c r="B261" s="12" t="str">
        <x:v>P26-REQ-260</x:v>
      </x:c>
      <x:c r="C261" s="12" t="str">
        <x:v>Fuel Consumption</x:v>
      </x:c>
      <x:c r="D261" s="12" t="str">
        <x:v>Validate P26-REQ-260 using deterministic normal, boundary, invalid-unit, override, changed-library, and permission scenarios as applicable.</x:v>
      </x:c>
      <x:c r="E261" s="12" t="str">
        <x:v>Calculated outputs, units, lineage and approvals match the controlled formula/rule; invalid inputs and unauthorized overrides are blocked.</x:v>
      </x:c>
      <x:c r="F261" s="12" t="str">
        <x:v>Planned</x:v>
      </x:c>
    </x:row>
    <x:row r="262">
      <x:c r="A262" s="12" t="str">
        <x:v>P26-TST-261</x:v>
      </x:c>
      <x:c r="B262" s="12" t="str">
        <x:v>P26-REQ-261</x:v>
      </x:c>
      <x:c r="C262" s="12" t="str">
        <x:v>Truck Selection</x:v>
      </x:c>
      <x:c r="D262" s="12" t="str">
        <x:v>Validate P26-REQ-261 using deterministic normal, boundary, invalid-unit, override, changed-library, and permission scenarios as applicable.</x:v>
      </x:c>
      <x:c r="E262" s="12" t="str">
        <x:v>Calculated outputs, units, lineage and approvals match the controlled formula/rule; invalid inputs and unauthorized overrides are blocked.</x:v>
      </x:c>
      <x:c r="F262" s="12" t="str">
        <x:v>Planned</x:v>
      </x:c>
    </x:row>
    <x:row r="263">
      <x:c r="A263" s="12" t="str">
        <x:v>P26-TST-262</x:v>
      </x:c>
      <x:c r="B263" s="12" t="str">
        <x:v>P26-REQ-262</x:v>
      </x:c>
      <x:c r="C263" s="12" t="str">
        <x:v>Truck Cycle Calculation</x:v>
      </x:c>
      <x:c r="D263" s="12" t="str">
        <x:v>Validate P26-REQ-262 using deterministic normal, boundary, invalid-unit, override, changed-library, and permission scenarios as applicable.</x:v>
      </x:c>
      <x:c r="E263" s="12" t="str">
        <x:v>Calculated outputs, units, lineage and approvals match the controlled formula/rule; invalid inputs and unauthorized overrides are blocked.</x:v>
      </x:c>
      <x:c r="F263" s="12" t="str">
        <x:v>Planned</x:v>
      </x:c>
    </x:row>
    <x:row r="264">
      <x:c r="A264" s="12" t="str">
        <x:v>P26-TST-263</x:v>
      </x:c>
      <x:c r="B264" s="12" t="str">
        <x:v>P26-REQ-263</x:v>
      </x:c>
      <x:c r="C264" s="12" t="str">
        <x:v>Truck Count</x:v>
      </x:c>
      <x:c r="D264" s="12" t="str">
        <x:v>Validate P26-REQ-263 using deterministic normal, boundary, invalid-unit, override, changed-library, and permission scenarios as applicable.</x:v>
      </x:c>
      <x:c r="E264" s="12" t="str">
        <x:v>Calculated outputs, units, lineage and approvals match the controlled formula/rule; invalid inputs and unauthorized overrides are blocked.</x:v>
      </x:c>
      <x:c r="F264" s="12" t="str">
        <x:v>Planned</x:v>
      </x:c>
    </x:row>
    <x:row r="265">
      <x:c r="A265" s="12" t="str">
        <x:v>P26-TST-264</x:v>
      </x:c>
      <x:c r="B265" s="12" t="str">
        <x:v>P26-REQ-264</x:v>
      </x:c>
      <x:c r="C265" s="12" t="str">
        <x:v>Haul Distance</x:v>
      </x:c>
      <x:c r="D265" s="12" t="str">
        <x:v>Validate P26-REQ-264 using deterministic normal, boundary, invalid-unit, override, changed-library, and permission scenarios as applicable.</x:v>
      </x:c>
      <x:c r="E265" s="12" t="str">
        <x:v>Calculated outputs, units, lineage and approvals match the controlled formula/rule; invalid inputs and unauthorized overrides are blocked.</x:v>
      </x:c>
      <x:c r="F265" s="12" t="str">
        <x:v>Planned</x:v>
      </x:c>
    </x:row>
    <x:row r="266">
      <x:c r="A266" s="12" t="str">
        <x:v>P26-TST-265</x:v>
      </x:c>
      <x:c r="B266" s="12" t="str">
        <x:v>P26-REQ-265</x:v>
      </x:c>
      <x:c r="C266" s="12" t="str">
        <x:v>Disposal Cost</x:v>
      </x:c>
      <x:c r="D266" s="12" t="str">
        <x:v>Validate P26-REQ-265 using deterministic normal, boundary, invalid-unit, override, changed-library, and permission scenarios as applicable.</x:v>
      </x:c>
      <x:c r="E266" s="12" t="str">
        <x:v>Calculated outputs, units, lineage and approvals match the controlled formula/rule; invalid inputs and unauthorized overrides are blocked.</x:v>
      </x:c>
      <x:c r="F266" s="12" t="str">
        <x:v>Planned</x:v>
      </x:c>
    </x:row>
    <x:row r="267">
      <x:c r="A267" s="12" t="str">
        <x:v>P26-TST-266</x:v>
      </x:c>
      <x:c r="B267" s="12" t="str">
        <x:v>P26-REQ-266</x:v>
      </x:c>
      <x:c r="C267" s="12" t="str">
        <x:v>Material Cost</x:v>
      </x:c>
      <x:c r="D267" s="12" t="str">
        <x:v>Validate P26-REQ-266 using deterministic normal, boundary, invalid-unit, override, changed-library, and permission scenarios as applicable.</x:v>
      </x:c>
      <x:c r="E267" s="12" t="str">
        <x:v>Calculated outputs, units, lineage and approvals match the controlled formula/rule; invalid inputs and unauthorized overrides are blocked.</x:v>
      </x:c>
      <x:c r="F267" s="12" t="str">
        <x:v>Planned</x:v>
      </x:c>
    </x:row>
    <x:row r="268">
      <x:c r="A268" s="12" t="str">
        <x:v>P26-TST-267</x:v>
      </x:c>
      <x:c r="B268" s="12" t="str">
        <x:v>P26-REQ-267</x:v>
      </x:c>
      <x:c r="C268" s="12" t="str">
        <x:v>Material Waste</x:v>
      </x:c>
      <x:c r="D268" s="12" t="str">
        <x:v>Validate P26-REQ-267 using deterministic normal, boundary, invalid-unit, override, changed-library, and permission scenarios as applicable.</x:v>
      </x:c>
      <x:c r="E268" s="12" t="str">
        <x:v>Calculated outputs, units, lineage and approvals match the controlled formula/rule; invalid inputs and unauthorized overrides are blocked.</x:v>
      </x:c>
      <x:c r="F268" s="12" t="str">
        <x:v>Planned</x:v>
      </x:c>
    </x:row>
    <x:row r="269">
      <x:c r="A269" s="12" t="str">
        <x:v>P26-TST-268</x:v>
      </x:c>
      <x:c r="B269" s="12" t="str">
        <x:v>P26-REQ-268</x:v>
      </x:c>
      <x:c r="C269" s="12" t="str">
        <x:v>Subcontract Cost</x:v>
      </x:c>
      <x:c r="D269" s="12" t="str">
        <x:v>Validate P26-REQ-268 using deterministic normal, boundary, invalid-unit, override, changed-library, and permission scenarios as applicable.</x:v>
      </x:c>
      <x:c r="E269" s="12" t="str">
        <x:v>Calculated outputs, units, lineage and approvals match the controlled formula/rule; invalid inputs and unauthorized overrides are blocked.</x:v>
      </x:c>
      <x:c r="F269" s="12" t="str">
        <x:v>Planned</x:v>
      </x:c>
    </x:row>
    <x:row r="270">
      <x:c r="A270" s="12" t="str">
        <x:v>P26-TST-269</x:v>
      </x:c>
      <x:c r="B270" s="12" t="str">
        <x:v>P26-REQ-269</x:v>
      </x:c>
      <x:c r="C270" s="12" t="str">
        <x:v>Production Rate</x:v>
      </x:c>
      <x:c r="D270" s="12" t="str">
        <x:v>Validate P26-REQ-269 using deterministic normal, boundary, invalid-unit, override, changed-library, and permission scenarios as applicable.</x:v>
      </x:c>
      <x:c r="E270" s="12" t="str">
        <x:v>Calculated outputs, units, lineage and approvals match the controlled formula/rule; invalid inputs and unauthorized overrides are blocked.</x:v>
      </x:c>
      <x:c r="F270" s="12" t="str">
        <x:v>Planned</x:v>
      </x:c>
    </x:row>
    <x:row r="271">
      <x:c r="A271" s="12" t="str">
        <x:v>P26-TST-270</x:v>
      </x:c>
      <x:c r="B271" s="12" t="str">
        <x:v>P26-REQ-270</x:v>
      </x:c>
      <x:c r="C271" s="12" t="str">
        <x:v>Production Modifiers</x:v>
      </x:c>
      <x:c r="D271" s="12" t="str">
        <x:v>Validate P26-REQ-270 using deterministic normal, boundary, invalid-unit, override, changed-library, and permission scenarios as applicable.</x:v>
      </x:c>
      <x:c r="E271" s="12" t="str">
        <x:v>Calculated outputs, units, lineage and approvals match the controlled formula/rule; invalid inputs and unauthorized overrides are blocked.</x:v>
      </x:c>
      <x:c r="F271" s="12" t="str">
        <x:v>Planned</x:v>
      </x:c>
    </x:row>
    <x:row r="272">
      <x:c r="A272" s="12" t="str">
        <x:v>P26-TST-271</x:v>
      </x:c>
      <x:c r="B272" s="12" t="str">
        <x:v>P26-REQ-271</x:v>
      </x:c>
      <x:c r="C272" s="12" t="str">
        <x:v>Duration Calculation</x:v>
      </x:c>
      <x:c r="D272" s="12" t="str">
        <x:v>Validate P26-REQ-271 using deterministic normal, boundary, invalid-unit, override, changed-library, and permission scenarios as applicable.</x:v>
      </x:c>
      <x:c r="E272" s="12" t="str">
        <x:v>Calculated outputs, units, lineage and approvals match the controlled formula/rule; invalid inputs and unauthorized overrides are blocked.</x:v>
      </x:c>
      <x:c r="F272" s="12" t="str">
        <x:v>Planned</x:v>
      </x:c>
    </x:row>
    <x:row r="273">
      <x:c r="A273" s="12" t="str">
        <x:v>P26-TST-272</x:v>
      </x:c>
      <x:c r="B273" s="12" t="str">
        <x:v>P26-REQ-272</x:v>
      </x:c>
      <x:c r="C273" s="12" t="str">
        <x:v>Work Hours &amp; Shifts</x:v>
      </x:c>
      <x:c r="D273" s="12" t="str">
        <x:v>Validate P26-REQ-272 using deterministic normal, boundary, invalid-unit, override, changed-library, and permission scenarios as applicable.</x:v>
      </x:c>
      <x:c r="E273" s="12" t="str">
        <x:v>Calculated outputs, units, lineage and approvals match the controlled formula/rule; invalid inputs and unauthorized overrides are blocked.</x:v>
      </x:c>
      <x:c r="F273" s="12" t="str">
        <x:v>Planned</x:v>
      </x:c>
    </x:row>
    <x:row r="274">
      <x:c r="A274" s="12" t="str">
        <x:v>P26-TST-273</x:v>
      </x:c>
      <x:c r="B274" s="12" t="str">
        <x:v>P26-REQ-273</x:v>
      </x:c>
      <x:c r="C274" s="12" t="str">
        <x:v>Mobilization</x:v>
      </x:c>
      <x:c r="D274" s="12" t="str">
        <x:v>Validate P26-REQ-273 using deterministic normal, boundary, invalid-unit, override, changed-library, and permission scenarios as applicable.</x:v>
      </x:c>
      <x:c r="E274" s="12" t="str">
        <x:v>Calculated outputs, units, lineage and approvals match the controlled formula/rule; invalid inputs and unauthorized overrides are blocked.</x:v>
      </x:c>
      <x:c r="F274" s="12" t="str">
        <x:v>Planned</x:v>
      </x:c>
    </x:row>
    <x:row r="275">
      <x:c r="A275" s="12" t="str">
        <x:v>P26-TST-274</x:v>
      </x:c>
      <x:c r="B275" s="12" t="str">
        <x:v>P26-REQ-274</x:v>
      </x:c>
      <x:c r="C275" s="12" t="str">
        <x:v>Demobilization</x:v>
      </x:c>
      <x:c r="D275" s="12" t="str">
        <x:v>Validate P26-REQ-274 using deterministic normal, boundary, invalid-unit, override, changed-library, and permission scenarios as applicable.</x:v>
      </x:c>
      <x:c r="E275" s="12" t="str">
        <x:v>Calculated outputs, units, lineage and approvals match the controlled formula/rule; invalid inputs and unauthorized overrides are blocked.</x:v>
      </x:c>
      <x:c r="F275" s="12" t="str">
        <x:v>Planned</x:v>
      </x:c>
    </x:row>
    <x:row r="276">
      <x:c r="A276" s="12" t="str">
        <x:v>P26-TST-275</x:v>
      </x:c>
      <x:c r="B276" s="12" t="str">
        <x:v>P26-REQ-275</x:v>
      </x:c>
      <x:c r="C276" s="12" t="str">
        <x:v>Indirect Costs</x:v>
      </x:c>
      <x:c r="D276" s="12" t="str">
        <x:v>Validate P26-REQ-275 using deterministic normal, boundary, invalid-unit, override, changed-library, and permission scenarios as applicable.</x:v>
      </x:c>
      <x:c r="E276" s="12" t="str">
        <x:v>Calculated outputs, units, lineage and approvals match the controlled formula/rule; invalid inputs and unauthorized overrides are blocked.</x:v>
      </x:c>
      <x:c r="F276" s="12" t="str">
        <x:v>Planned</x:v>
      </x:c>
    </x:row>
    <x:row r="277">
      <x:c r="A277" s="12" t="str">
        <x:v>P26-TST-276</x:v>
      </x:c>
      <x:c r="B277" s="12" t="str">
        <x:v>P26-REQ-276</x:v>
      </x:c>
      <x:c r="C277" s="12" t="str">
        <x:v>Contingency</x:v>
      </x:c>
      <x:c r="D277" s="12" t="str">
        <x:v>Validate P26-REQ-276 using deterministic normal, boundary, invalid-unit, override, changed-library, and permission scenarios as applicable.</x:v>
      </x:c>
      <x:c r="E277" s="12" t="str">
        <x:v>Calculated outputs, units, lineage and approvals match the controlled formula/rule; invalid inputs and unauthorized overrides are blocked.</x:v>
      </x:c>
      <x:c r="F277" s="12" t="str">
        <x:v>Planned</x:v>
      </x:c>
    </x:row>
    <x:row r="278">
      <x:c r="A278" s="12" t="str">
        <x:v>P26-TST-277</x:v>
      </x:c>
      <x:c r="B278" s="12" t="str">
        <x:v>P26-REQ-277</x:v>
      </x:c>
      <x:c r="C278" s="12" t="str">
        <x:v>Markup</x:v>
      </x:c>
      <x:c r="D278" s="12" t="str">
        <x:v>Validate P26-REQ-277 using deterministic normal, boundary, invalid-unit, override, changed-library, and permission scenarios as applicable.</x:v>
      </x:c>
      <x:c r="E278" s="12" t="str">
        <x:v>Calculated outputs, units, lineage and approvals match the controlled formula/rule; invalid inputs and unauthorized overrides are blocked.</x:v>
      </x:c>
      <x:c r="F278" s="12" t="str">
        <x:v>Planned</x:v>
      </x:c>
    </x:row>
    <x:row r="279">
      <x:c r="A279" s="12" t="str">
        <x:v>P26-TST-278</x:v>
      </x:c>
      <x:c r="B279" s="12" t="str">
        <x:v>P26-REQ-278</x:v>
      </x:c>
      <x:c r="C279" s="12" t="str">
        <x:v>Overhead &amp; Profit</x:v>
      </x:c>
      <x:c r="D279" s="12" t="str">
        <x:v>Validate P26-REQ-278 using deterministic normal, boundary, invalid-unit, override, changed-library, and permission scenarios as applicable.</x:v>
      </x:c>
      <x:c r="E279" s="12" t="str">
        <x:v>Calculated outputs, units, lineage and approvals match the controlled formula/rule; invalid inputs and unauthorized overrides are blocked.</x:v>
      </x:c>
      <x:c r="F279" s="12" t="str">
        <x:v>Planned</x:v>
      </x:c>
    </x:row>
    <x:row r="280">
      <x:c r="A280" s="12" t="str">
        <x:v>P26-TST-279</x:v>
      </x:c>
      <x:c r="B280" s="12" t="str">
        <x:v>P26-REQ-279</x:v>
      </x:c>
      <x:c r="C280" s="12" t="str">
        <x:v>Tax &amp; Bond</x:v>
      </x:c>
      <x:c r="D280" s="12" t="str">
        <x:v>Validate P26-REQ-279 using deterministic normal, boundary, invalid-unit, override, changed-library, and permission scenarios as applicable.</x:v>
      </x:c>
      <x:c r="E280" s="12" t="str">
        <x:v>Calculated outputs, units, lineage and approvals match the controlled formula/rule; invalid inputs and unauthorized overrides are blocked.</x:v>
      </x:c>
      <x:c r="F280" s="12" t="str">
        <x:v>Planned</x:v>
      </x:c>
    </x:row>
    <x:row r="281">
      <x:c r="A281" s="12" t="str">
        <x:v>P26-TST-280</x:v>
      </x:c>
      <x:c r="B281" s="12" t="str">
        <x:v>P26-REQ-280</x:v>
      </x:c>
      <x:c r="C281" s="12" t="str">
        <x:v>Unit Price</x:v>
      </x:c>
      <x:c r="D281" s="12" t="str">
        <x:v>Validate P26-REQ-280 using deterministic normal, boundary, invalid-unit, override, changed-library, and permission scenarios as applicable.</x:v>
      </x:c>
      <x:c r="E281" s="12" t="str">
        <x:v>Calculated outputs, units, lineage and approvals match the controlled formula/rule; invalid inputs and unauthorized overrides are blocked.</x:v>
      </x:c>
      <x:c r="F281" s="12" t="str">
        <x:v>Planned</x:v>
      </x:c>
    </x:row>
    <x:row r="282">
      <x:c r="A282" s="12" t="str">
        <x:v>P26-TST-281</x:v>
      </x:c>
      <x:c r="B282" s="12" t="str">
        <x:v>P26-REQ-281</x:v>
      </x:c>
      <x:c r="C282" s="12" t="str">
        <x:v>Bid Price</x:v>
      </x:c>
      <x:c r="D282" s="12" t="str">
        <x:v>Validate P26-REQ-281 using deterministic normal, boundary, invalid-unit, override, changed-library, and permission scenarios as applicable.</x:v>
      </x:c>
      <x:c r="E282" s="12" t="str">
        <x:v>Calculated outputs, units, lineage and approvals match the controlled formula/rule; invalid inputs and unauthorized overrides are blocked.</x:v>
      </x:c>
      <x:c r="F282" s="12" t="str">
        <x:v>Planned</x:v>
      </x:c>
    </x:row>
    <x:row r="283">
      <x:c r="A283" s="12" t="str">
        <x:v>P26-TST-282</x:v>
      </x:c>
      <x:c r="B283" s="12" t="str">
        <x:v>P26-REQ-282</x:v>
      </x:c>
      <x:c r="C283" s="12" t="str">
        <x:v>Low/High Range</x:v>
      </x:c>
      <x:c r="D283" s="12" t="str">
        <x:v>Validate P26-REQ-282 using deterministic normal, boundary, invalid-unit, override, changed-library, and permission scenarios as applicable.</x:v>
      </x:c>
      <x:c r="E283" s="12" t="str">
        <x:v>Calculated outputs, units, lineage and approvals match the controlled formula/rule; invalid inputs and unauthorized overrides are blocked.</x:v>
      </x:c>
      <x:c r="F283" s="12" t="str">
        <x:v>Planned</x:v>
      </x:c>
    </x:row>
    <x:row r="284">
      <x:c r="A284" s="12" t="str">
        <x:v>P26-TST-283</x:v>
      </x:c>
      <x:c r="B284" s="12" t="str">
        <x:v>P26-REQ-283</x:v>
      </x:c>
      <x:c r="C284" s="12" t="str">
        <x:v>Scenario Comparison</x:v>
      </x:c>
      <x:c r="D284" s="12" t="str">
        <x:v>Validate P26-REQ-283 using deterministic normal, boundary, invalid-unit, override, changed-library, and permission scenarios as applicable.</x:v>
      </x:c>
      <x:c r="E284" s="12" t="str">
        <x:v>Calculated outputs, units, lineage and approvals match the controlled formula/rule; invalid inputs and unauthorized overrides are blocked.</x:v>
      </x:c>
      <x:c r="F284" s="12" t="str">
        <x:v>Planned</x:v>
      </x:c>
    </x:row>
    <x:row r="285">
      <x:c r="A285" s="12" t="str">
        <x:v>P26-TST-284</x:v>
      </x:c>
      <x:c r="B285" s="12" t="str">
        <x:v>P26-REQ-284</x:v>
      </x:c>
      <x:c r="C285" s="12" t="str">
        <x:v>Estimate Confidence</x:v>
      </x:c>
      <x:c r="D285" s="12" t="str">
        <x:v>Validate P26-REQ-284 using deterministic normal, boundary, invalid-unit, override, changed-library, and permission scenarios as applicable.</x:v>
      </x:c>
      <x:c r="E285" s="12" t="str">
        <x:v>Calculated outputs, units, lineage and approvals match the controlled formula/rule; invalid inputs and unauthorized overrides are blocked.</x:v>
      </x:c>
      <x:c r="F285" s="12" t="str">
        <x:v>Planned</x:v>
      </x:c>
    </x:row>
    <x:row r="286">
      <x:c r="A286" s="12" t="str">
        <x:v>P26-TST-285</x:v>
      </x:c>
      <x:c r="B286" s="12" t="str">
        <x:v>P26-REQ-285</x:v>
      </x:c>
      <x:c r="C286" s="12" t="str">
        <x:v>Regional Pricing</x:v>
      </x:c>
      <x:c r="D286" s="12" t="str">
        <x:v>Validate P26-REQ-285 using deterministic normal, boundary, invalid-unit, override, changed-library, and permission scenarios as applicable.</x:v>
      </x:c>
      <x:c r="E286" s="12" t="str">
        <x:v>Calculated outputs, units, lineage and approvals match the controlled formula/rule; invalid inputs and unauthorized overrides are blocked.</x:v>
      </x:c>
      <x:c r="F286" s="12" t="str">
        <x:v>Planned</x:v>
      </x:c>
    </x:row>
    <x:row r="287">
      <x:c r="A287" s="12" t="str">
        <x:v>P26-TST-286</x:v>
      </x:c>
      <x:c r="B287" s="12" t="str">
        <x:v>P26-REQ-286</x:v>
      </x:c>
      <x:c r="C287" s="12" t="str">
        <x:v>Vendor Quote Override</x:v>
      </x:c>
      <x:c r="D287" s="12" t="str">
        <x:v>Validate P26-REQ-286 using deterministic normal, boundary, invalid-unit, override, changed-library, and permission scenarios as applicable.</x:v>
      </x:c>
      <x:c r="E287" s="12" t="str">
        <x:v>Calculated outputs, units, lineage and approvals match the controlled formula/rule; invalid inputs and unauthorized overrides are blocked.</x:v>
      </x:c>
      <x:c r="F287" s="12" t="str">
        <x:v>Planned</x:v>
      </x:c>
    </x:row>
    <x:row r="288">
      <x:c r="A288" s="12" t="str">
        <x:v>P26-TST-287</x:v>
      </x:c>
      <x:c r="B288" s="12" t="str">
        <x:v>P26-REQ-287</x:v>
      </x:c>
      <x:c r="C288" s="12" t="str">
        <x:v>Snapshot Reproducibility</x:v>
      </x:c>
      <x:c r="D288" s="12" t="str">
        <x:v>Validate P26-REQ-287 using deterministic normal, boundary, invalid-unit, override, changed-library, and permission scenarios as applicable.</x:v>
      </x:c>
      <x:c r="E288" s="12" t="str">
        <x:v>Calculated outputs, units, lineage and approvals match the controlled formula/rule; invalid inputs and unauthorized overrides are blocked.</x:v>
      </x:c>
      <x:c r="F288" s="12" t="str">
        <x:v>Planned</x:v>
      </x:c>
    </x:row>
    <x:row r="289">
      <x:c r="A289" s="12" t="str">
        <x:v>P26-TST-288</x:v>
      </x:c>
      <x:c r="B289" s="12" t="str">
        <x:v>P26-REQ-288</x:v>
      </x:c>
      <x:c r="C289" s="12" t="str">
        <x:v>Service Catalog Writeback</x:v>
      </x:c>
      <x:c r="D289" s="12" t="str">
        <x:v>Validate P26-REQ-288 using deterministic normal, boundary, invalid-unit, override, changed-library, and permission scenarios as applicable.</x:v>
      </x:c>
      <x:c r="E289" s="12" t="str">
        <x:v>Calculated outputs, units, lineage and approvals match the controlled formula/rule; invalid inputs and unauthorized overrides are blocked.</x:v>
      </x:c>
      <x:c r="F289" s="12" t="str">
        <x:v>Planned</x:v>
      </x:c>
    </x:row>
    <x:row r="290">
      <x:c r="A290" s="12" t="str">
        <x:v>P26-TST-289</x:v>
      </x:c>
      <x:c r="B290" s="12" t="str">
        <x:v>P26-REQ-289</x:v>
      </x:c>
      <x:c r="C290" s="12" t="str">
        <x:v>AI Estimate Assist</x:v>
      </x:c>
      <x:c r="D290" s="12" t="str">
        <x:v>Validate P26-REQ-289 using deterministic normal, boundary, invalid-unit, override, changed-library, and permission scenarios as applicable.</x:v>
      </x:c>
      <x:c r="E290" s="12" t="str">
        <x:v>Calculated outputs, units, lineage and approvals match the controlled formula/rule; invalid inputs and unauthorized overrides are blocked.</x:v>
      </x:c>
      <x:c r="F290" s="12" t="str">
        <x:v>Planned</x:v>
      </x:c>
    </x:row>
    <x:row r="291">
      <x:c r="A291" s="12" t="str">
        <x:v>P26-TST-290</x:v>
      </x:c>
      <x:c r="B291" s="12" t="str">
        <x:v>P26-REQ-290</x:v>
      </x:c>
      <x:c r="C291" s="12" t="str">
        <x:v>Estimate Review &amp; Approval</x:v>
      </x:c>
      <x:c r="D291" s="12" t="str">
        <x:v>Validate P26-REQ-290 using deterministic normal, boundary, invalid-unit, override, changed-library, and permission scenarios as applicable.</x:v>
      </x:c>
      <x:c r="E291" s="12" t="str">
        <x:v>Calculated outputs, units, lineage and approvals match the controlled formula/rule; invalid inputs and unauthorized overrides are blocked.</x:v>
      </x:c>
      <x:c r="F291" s="12" t="str">
        <x:v>Planned</x:v>
      </x:c>
    </x:row>
    <x:row r="292">
      <x:c r="A292" s="12" t="str">
        <x:v>P26-TST-291</x:v>
      </x:c>
      <x:c r="B292" s="12" t="str">
        <x:v>P26-REQ-291</x:v>
      </x:c>
      <x:c r="C292" s="12" t="str">
        <x:v>Estimate Export</x:v>
      </x:c>
      <x:c r="D292" s="12" t="str">
        <x:v>Validate P26-REQ-291 using deterministic normal, boundary, invalid-unit, override, changed-library, and permission scenarios as applicable.</x:v>
      </x:c>
      <x:c r="E292" s="12" t="str">
        <x:v>Calculated outputs, units, lineage and approvals match the controlled formula/rule; invalid inputs and unauthorized overrides are blocked.</x:v>
      </x:c>
      <x:c r="F292" s="12" t="str">
        <x:v>Planned</x:v>
      </x:c>
    </x:row>
    <x:row r="293">
      <x:c r="A293" s="12" t="str">
        <x:v>P26-TST-292</x:v>
      </x:c>
      <x:c r="B293" s="12" t="str">
        <x:v>P26-REQ-292</x:v>
      </x:c>
      <x:c r="C293" s="12" t="str">
        <x:v>Proposal Handoff</x:v>
      </x:c>
      <x:c r="D293" s="12" t="str">
        <x:v>Validate P26-REQ-292 using deterministic normal, boundary, invalid-unit, override, changed-library, and permission scenarios as applicable.</x:v>
      </x:c>
      <x:c r="E293" s="12" t="str">
        <x:v>Calculated outputs, units, lineage and approvals match the controlled formula/rule; invalid inputs and unauthorized overrides are blocked.</x:v>
      </x:c>
      <x:c r="F293" s="12" t="str">
        <x:v>Planned</x:v>
      </x:c>
    </x:row>
    <x:row r="294">
      <x:c r="A294" s="12" t="str">
        <x:v>P26-TST-293</x:v>
      </x:c>
      <x:c r="B294" s="12" t="str">
        <x:v>P26-REQ-293</x:v>
      </x:c>
      <x:c r="C294" s="12" t="str">
        <x:v>Job Cost Baseline</x:v>
      </x:c>
      <x:c r="D294" s="12" t="str">
        <x:v>Validate P26-REQ-293 using deterministic normal, boundary, invalid-unit, override, changed-library, and permission scenarios as applicable.</x:v>
      </x:c>
      <x:c r="E294" s="12" t="str">
        <x:v>Calculated outputs, units, lineage and approvals match the controlled formula/rule; invalid inputs and unauthorized overrides are blocked.</x:v>
      </x:c>
      <x:c r="F294" s="12" t="str">
        <x:v>Planned</x:v>
      </x:c>
    </x:row>
    <x:row r="295">
      <x:c r="A295" s="12" t="str">
        <x:v>P26-TST-294</x:v>
      </x:c>
      <x:c r="B295" s="12" t="str">
        <x:v>P26-REQ-294</x:v>
      </x:c>
      <x:c r="C295" s="12" t="str">
        <x:v>Audit &amp; Traceability</x:v>
      </x:c>
      <x:c r="D295" s="12" t="str">
        <x:v>Validate P26-REQ-294 using deterministic normal, boundary, invalid-unit, override, changed-library, and permission scenarios as applicable.</x:v>
      </x:c>
      <x:c r="E295" s="12" t="str">
        <x:v>Calculated outputs, units, lineage and approvals match the controlled formula/rule; invalid inputs and unauthorized overrides are blocked.</x:v>
      </x:c>
      <x:c r="F295" s="12" t="str">
        <x:v>Planned</x:v>
      </x:c>
    </x:row>
    <x:row r="296">
      <x:c r="A296" s="12" t="str">
        <x:v>P26-TST-295</x:v>
      </x:c>
      <x:c r="B296" s="12" t="str">
        <x:v>P26-REQ-295</x:v>
      </x:c>
      <x:c r="C296" s="12" t="str">
        <x:v>Estimate Lifecycle</x:v>
      </x:c>
      <x:c r="D296" s="12" t="str">
        <x:v>Validate P26-REQ-295 using deterministic normal, boundary, invalid-unit, override, changed-library, and permission scenarios as applicable.</x:v>
      </x:c>
      <x:c r="E296" s="12" t="str">
        <x:v>Calculated outputs, units, lineage and approvals match the controlled formula/rule; invalid inputs and unauthorized overrides are blocked.</x:v>
      </x:c>
      <x:c r="F296" s="12" t="str">
        <x:v>Planned</x:v>
      </x:c>
    </x:row>
    <x:row r="297">
      <x:c r="A297" s="12" t="str">
        <x:v>P26-TST-296</x:v>
      </x:c>
      <x:c r="B297" s="12" t="str">
        <x:v>P26-REQ-296</x:v>
      </x:c>
      <x:c r="C297" s="12" t="str">
        <x:v>Estimate Versions</x:v>
      </x:c>
      <x:c r="D297" s="12" t="str">
        <x:v>Validate P26-REQ-296 using deterministic normal, boundary, invalid-unit, override, changed-library, and permission scenarios as applicable.</x:v>
      </x:c>
      <x:c r="E297" s="12" t="str">
        <x:v>Calculated outputs, units, lineage and approvals match the controlled formula/rule; invalid inputs and unauthorized overrides are blocked.</x:v>
      </x:c>
      <x:c r="F297" s="12" t="str">
        <x:v>Planned</x:v>
      </x:c>
    </x:row>
    <x:row r="298">
      <x:c r="A298" s="12" t="str">
        <x:v>P26-TST-297</x:v>
      </x:c>
      <x:c r="B298" s="12" t="str">
        <x:v>P26-REQ-297</x:v>
      </x:c>
      <x:c r="C298" s="12" t="str">
        <x:v>Estimate Templates</x:v>
      </x:c>
      <x:c r="D298" s="12" t="str">
        <x:v>Validate P26-REQ-297 using deterministic normal, boundary, invalid-unit, override, changed-library, and permission scenarios as applicable.</x:v>
      </x:c>
      <x:c r="E298" s="12" t="str">
        <x:v>Calculated outputs, units, lineage and approvals match the controlled formula/rule; invalid inputs and unauthorized overrides are blocked.</x:v>
      </x:c>
      <x:c r="F298" s="12" t="str">
        <x:v>Planned</x:v>
      </x:c>
    </x:row>
    <x:row r="299">
      <x:c r="A299" s="12" t="str">
        <x:v>P26-TST-298</x:v>
      </x:c>
      <x:c r="B299" s="12" t="str">
        <x:v>P26-REQ-298</x:v>
      </x:c>
      <x:c r="C299" s="12" t="str">
        <x:v>Service Selection</x:v>
      </x:c>
      <x:c r="D299" s="12" t="str">
        <x:v>Validate P26-REQ-298 using deterministic normal, boundary, invalid-unit, override, changed-library, and permission scenarios as applicable.</x:v>
      </x:c>
      <x:c r="E299" s="12" t="str">
        <x:v>Calculated outputs, units, lineage and approvals match the controlled formula/rule; invalid inputs and unauthorized overrides are blocked.</x:v>
      </x:c>
      <x:c r="F299" s="12" t="str">
        <x:v>Planned</x:v>
      </x:c>
    </x:row>
    <x:row r="300">
      <x:c r="A300" s="12" t="str">
        <x:v>P26-TST-299</x:v>
      </x:c>
      <x:c r="B300" s="12" t="str">
        <x:v>P26-REQ-299</x:v>
      </x:c>
      <x:c r="C300" s="12" t="str">
        <x:v>Assembly Expansion</x:v>
      </x:c>
      <x:c r="D300" s="12" t="str">
        <x:v>Validate P26-REQ-299 using deterministic normal, boundary, invalid-unit, override, changed-library, and permission scenarios as applicable.</x:v>
      </x:c>
      <x:c r="E300" s="12" t="str">
        <x:v>Calculated outputs, units, lineage and approvals match the controlled formula/rule; invalid inputs and unauthorized overrides are blocked.</x:v>
      </x:c>
      <x:c r="F300" s="12" t="str">
        <x:v>Planned</x:v>
      </x:c>
    </x:row>
    <x:row r="301">
      <x:c r="A301" s="12" t="str">
        <x:v>P26-TST-300</x:v>
      </x:c>
      <x:c r="B301" s="12" t="str">
        <x:v>P26-REQ-300</x:v>
      </x:c>
      <x:c r="C301" s="12" t="str">
        <x:v>Quantity Input</x:v>
      </x:c>
      <x:c r="D301" s="12" t="str">
        <x:v>Validate P26-REQ-300 using deterministic normal, boundary, invalid-unit, override, changed-library, and permission scenarios as applicable.</x:v>
      </x:c>
      <x:c r="E301" s="12" t="str">
        <x:v>Calculated outputs, units, lineage and approvals match the controlled formula/rule; invalid inputs and unauthorized overrides are blocked.</x:v>
      </x:c>
      <x:c r="F301" s="12" t="str">
        <x:v>Planned</x:v>
      </x:c>
    </x:row>
    <x:row r="302">
      <x:c r="A302" s="12" t="str">
        <x:v>P26-TST-301</x:v>
      </x:c>
      <x:c r="B302" s="12" t="str">
        <x:v>P26-REQ-301</x:v>
      </x:c>
      <x:c r="C302" s="12" t="str">
        <x:v>Quantity Takeoff Intake</x:v>
      </x:c>
      <x:c r="D302" s="12" t="str">
        <x:v>Validate P26-REQ-301 using deterministic normal, boundary, invalid-unit, override, changed-library, and permission scenarios as applicable.</x:v>
      </x:c>
      <x:c r="E302" s="12" t="str">
        <x:v>Calculated outputs, units, lineage and approvals match the controlled formula/rule; invalid inputs and unauthorized overrides are blocked.</x:v>
      </x:c>
      <x:c r="F302" s="12" t="str">
        <x:v>Planned</x:v>
      </x:c>
    </x:row>
    <x:row r="303">
      <x:c r="A303" s="12" t="str">
        <x:v>P26-TST-302</x:v>
      </x:c>
      <x:c r="B303" s="12" t="str">
        <x:v>P26-REQ-302</x:v>
      </x:c>
      <x:c r="C303" s="12" t="str">
        <x:v>Labor Cost</x:v>
      </x:c>
      <x:c r="D303" s="12" t="str">
        <x:v>Validate P26-REQ-302 using deterministic normal, boundary, invalid-unit, override, changed-library, and permission scenarios as applicable.</x:v>
      </x:c>
      <x:c r="E303" s="12" t="str">
        <x:v>Calculated outputs, units, lineage and approvals match the controlled formula/rule; invalid inputs and unauthorized overrides are blocked.</x:v>
      </x:c>
      <x:c r="F303" s="12" t="str">
        <x:v>Planned</x:v>
      </x:c>
    </x:row>
    <x:row r="304">
      <x:c r="A304" s="12" t="str">
        <x:v>P26-TST-303</x:v>
      </x:c>
      <x:c r="B304" s="12" t="str">
        <x:v>P26-REQ-303</x:v>
      </x:c>
      <x:c r="C304" s="12" t="str">
        <x:v>Labor Burden</x:v>
      </x:c>
      <x:c r="D304" s="12" t="str">
        <x:v>Validate P26-REQ-303 using deterministic normal, boundary, invalid-unit, override, changed-library, and permission scenarios as applicable.</x:v>
      </x:c>
      <x:c r="E304" s="12" t="str">
        <x:v>Calculated outputs, units, lineage and approvals match the controlled formula/rule; invalid inputs and unauthorized overrides are blocked.</x:v>
      </x:c>
      <x:c r="F304" s="12" t="str">
        <x:v>Planned</x:v>
      </x:c>
    </x:row>
    <x:row r="305">
      <x:c r="A305" s="12" t="str">
        <x:v>P26-TST-304</x:v>
      </x:c>
      <x:c r="B305" s="12" t="str">
        <x:v>P26-REQ-304</x:v>
      </x:c>
      <x:c r="C305" s="12" t="str">
        <x:v>Crew Composition</x:v>
      </x:c>
      <x:c r="D305" s="12" t="str">
        <x:v>Validate P26-REQ-304 using deterministic normal, boundary, invalid-unit, override, changed-library, and permission scenarios as applicable.</x:v>
      </x:c>
      <x:c r="E305" s="12" t="str">
        <x:v>Calculated outputs, units, lineage and approvals match the controlled formula/rule; invalid inputs and unauthorized overrides are blocked.</x:v>
      </x:c>
      <x:c r="F305" s="12" t="str">
        <x:v>Planned</x:v>
      </x:c>
    </x:row>
    <x:row r="306">
      <x:c r="A306" s="12" t="str">
        <x:v>P26-TST-305</x:v>
      </x:c>
      <x:c r="B306" s="12" t="str">
        <x:v>P26-REQ-305</x:v>
      </x:c>
      <x:c r="C306" s="12" t="str">
        <x:v>Crew Size Recommendation</x:v>
      </x:c>
      <x:c r="D306" s="12" t="str">
        <x:v>Validate P26-REQ-305 using deterministic normal, boundary, invalid-unit, override, changed-library, and permission scenarios as applicable.</x:v>
      </x:c>
      <x:c r="E306" s="12" t="str">
        <x:v>Calculated outputs, units, lineage and approvals match the controlled formula/rule; invalid inputs and unauthorized overrides are blocked.</x:v>
      </x:c>
      <x:c r="F306" s="12" t="str">
        <x:v>Planned</x:v>
      </x:c>
    </x:row>
    <x:row r="307">
      <x:c r="A307" s="12" t="str">
        <x:v>P26-TST-306</x:v>
      </x:c>
      <x:c r="B307" s="12" t="str">
        <x:v>P26-REQ-306</x:v>
      </x:c>
      <x:c r="C307" s="12" t="str">
        <x:v>Equipment Selection</x:v>
      </x:c>
      <x:c r="D307" s="12" t="str">
        <x:v>Validate P26-REQ-306 using deterministic normal, boundary, invalid-unit, override, changed-library, and permission scenarios as applicable.</x:v>
      </x:c>
      <x:c r="E307" s="12" t="str">
        <x:v>Calculated outputs, units, lineage and approvals match the controlled formula/rule; invalid inputs and unauthorized overrides are blocked.</x:v>
      </x:c>
      <x:c r="F307" s="12" t="str">
        <x:v>Planned</x:v>
      </x:c>
    </x:row>
    <x:row r="308">
      <x:c r="A308" s="12" t="str">
        <x:v>P26-TST-307</x:v>
      </x:c>
      <x:c r="B308" s="12" t="str">
        <x:v>P26-REQ-307</x:v>
      </x:c>
      <x:c r="C308" s="12" t="str">
        <x:v>Equipment Cost</x:v>
      </x:c>
      <x:c r="D308" s="12" t="str">
        <x:v>Validate P26-REQ-307 using deterministic normal, boundary, invalid-unit, override, changed-library, and permission scenarios as applicable.</x:v>
      </x:c>
      <x:c r="E308" s="12" t="str">
        <x:v>Calculated outputs, units, lineage and approvals match the controlled formula/rule; invalid inputs and unauthorized overrides are blocked.</x:v>
      </x:c>
      <x:c r="F308" s="12" t="str">
        <x:v>Planned</x:v>
      </x:c>
    </x:row>
    <x:row r="309">
      <x:c r="A309" s="12" t="str">
        <x:v>P26-TST-308</x:v>
      </x:c>
      <x:c r="B309" s="12" t="str">
        <x:v>P26-REQ-308</x:v>
      </x:c>
      <x:c r="C309" s="12" t="str">
        <x:v>Equipment Rate Selection</x:v>
      </x:c>
      <x:c r="D309" s="12" t="str">
        <x:v>Validate P26-REQ-308 using deterministic normal, boundary, invalid-unit, override, changed-library, and permission scenarios as applicable.</x:v>
      </x:c>
      <x:c r="E309" s="12" t="str">
        <x:v>Calculated outputs, units, lineage and approvals match the controlled formula/rule; invalid inputs and unauthorized overrides are blocked.</x:v>
      </x:c>
      <x:c r="F309" s="12" t="str">
        <x:v>Planned</x:v>
      </x:c>
    </x:row>
    <x:row r="310">
      <x:c r="A310" s="12" t="str">
        <x:v>P26-TST-309</x:v>
      </x:c>
      <x:c r="B310" s="12" t="str">
        <x:v>P26-REQ-309</x:v>
      </x:c>
      <x:c r="C310" s="12" t="str">
        <x:v>Fuel Consumption</x:v>
      </x:c>
      <x:c r="D310" s="12" t="str">
        <x:v>Validate P26-REQ-309 using deterministic normal, boundary, invalid-unit, override, changed-library, and permission scenarios as applicable.</x:v>
      </x:c>
      <x:c r="E310" s="12" t="str">
        <x:v>Calculated outputs, units, lineage and approvals match the controlled formula/rule; invalid inputs and unauthorized overrides are blocked.</x:v>
      </x:c>
      <x:c r="F310" s="12" t="str">
        <x:v>Planned</x:v>
      </x:c>
    </x:row>
    <x:row r="311">
      <x:c r="A311" s="12" t="str">
        <x:v>P26-TST-310</x:v>
      </x:c>
      <x:c r="B311" s="12" t="str">
        <x:v>P26-REQ-310</x:v>
      </x:c>
      <x:c r="C311" s="12" t="str">
        <x:v>Truck Selection</x:v>
      </x:c>
      <x:c r="D311" s="12" t="str">
        <x:v>Validate P26-REQ-310 using deterministic normal, boundary, invalid-unit, override, changed-library, and permission scenarios as applicable.</x:v>
      </x:c>
      <x:c r="E311" s="12" t="str">
        <x:v>Calculated outputs, units, lineage and approvals match the controlled formula/rule; invalid inputs and unauthorized overrides are blocked.</x:v>
      </x:c>
      <x:c r="F311" s="12" t="str">
        <x:v>Planned</x:v>
      </x:c>
    </x:row>
    <x:row r="312">
      <x:c r="A312" s="12" t="str">
        <x:v>P26-TST-311</x:v>
      </x:c>
      <x:c r="B312" s="12" t="str">
        <x:v>P26-REQ-311</x:v>
      </x:c>
      <x:c r="C312" s="12" t="str">
        <x:v>Truck Cycle Calculation</x:v>
      </x:c>
      <x:c r="D312" s="12" t="str">
        <x:v>Validate P26-REQ-311 using deterministic normal, boundary, invalid-unit, override, changed-library, and permission scenarios as applicable.</x:v>
      </x:c>
      <x:c r="E312" s="12" t="str">
        <x:v>Calculated outputs, units, lineage and approvals match the controlled formula/rule; invalid inputs and unauthorized overrides are blocked.</x:v>
      </x:c>
      <x:c r="F312" s="12" t="str">
        <x:v>Planned</x:v>
      </x:c>
    </x:row>
    <x:row r="313">
      <x:c r="A313" s="12" t="str">
        <x:v>P26-TST-312</x:v>
      </x:c>
      <x:c r="B313" s="12" t="str">
        <x:v>P26-REQ-312</x:v>
      </x:c>
      <x:c r="C313" s="12" t="str">
        <x:v>Truck Count</x:v>
      </x:c>
      <x:c r="D313" s="12" t="str">
        <x:v>Validate P26-REQ-312 using deterministic normal, boundary, invalid-unit, override, changed-library, and permission scenarios as applicable.</x:v>
      </x:c>
      <x:c r="E313" s="12" t="str">
        <x:v>Calculated outputs, units, lineage and approvals match the controlled formula/rule; invalid inputs and unauthorized overrides are blocked.</x:v>
      </x:c>
      <x:c r="F313" s="12" t="str">
        <x:v>Planned</x:v>
      </x:c>
    </x:row>
    <x:row r="314">
      <x:c r="A314" s="12" t="str">
        <x:v>P26-TST-313</x:v>
      </x:c>
      <x:c r="B314" s="12" t="str">
        <x:v>P26-REQ-313</x:v>
      </x:c>
      <x:c r="C314" s="12" t="str">
        <x:v>Haul Distance</x:v>
      </x:c>
      <x:c r="D314" s="12" t="str">
        <x:v>Validate P26-REQ-313 using deterministic normal, boundary, invalid-unit, override, changed-library, and permission scenarios as applicable.</x:v>
      </x:c>
      <x:c r="E314" s="12" t="str">
        <x:v>Calculated outputs, units, lineage and approvals match the controlled formula/rule; invalid inputs and unauthorized overrides are blocked.</x:v>
      </x:c>
      <x:c r="F314" s="12" t="str">
        <x:v>Planned</x:v>
      </x:c>
    </x:row>
    <x:row r="315">
      <x:c r="A315" s="12" t="str">
        <x:v>P26-TST-314</x:v>
      </x:c>
      <x:c r="B315" s="12" t="str">
        <x:v>P26-REQ-314</x:v>
      </x:c>
      <x:c r="C315" s="12" t="str">
        <x:v>Disposal Cost</x:v>
      </x:c>
      <x:c r="D315" s="12" t="str">
        <x:v>Validate P26-REQ-314 using deterministic normal, boundary, invalid-unit, override, changed-library, and permission scenarios as applicable.</x:v>
      </x:c>
      <x:c r="E315" s="12" t="str">
        <x:v>Calculated outputs, units, lineage and approvals match the controlled formula/rule; invalid inputs and unauthorized overrides are blocked.</x:v>
      </x:c>
      <x:c r="F315" s="12" t="str">
        <x:v>Planned</x:v>
      </x:c>
    </x:row>
    <x:row r="316">
      <x:c r="A316" s="12" t="str">
        <x:v>P26-TST-315</x:v>
      </x:c>
      <x:c r="B316" s="12" t="str">
        <x:v>P26-REQ-315</x:v>
      </x:c>
      <x:c r="C316" s="12" t="str">
        <x:v>Material Cost</x:v>
      </x:c>
      <x:c r="D316" s="12" t="str">
        <x:v>Validate P26-REQ-315 using deterministic normal, boundary, invalid-unit, override, changed-library, and permission scenarios as applicable.</x:v>
      </x:c>
      <x:c r="E316" s="12" t="str">
        <x:v>Calculated outputs, units, lineage and approvals match the controlled formula/rule; invalid inputs and unauthorized overrides are blocked.</x:v>
      </x:c>
      <x:c r="F316" s="12" t="str">
        <x:v>Planned</x:v>
      </x:c>
    </x:row>
    <x:row r="317">
      <x:c r="A317" s="12" t="str">
        <x:v>P26-TST-316</x:v>
      </x:c>
      <x:c r="B317" s="12" t="str">
        <x:v>P26-REQ-316</x:v>
      </x:c>
      <x:c r="C317" s="12" t="str">
        <x:v>Material Waste</x:v>
      </x:c>
      <x:c r="D317" s="12" t="str">
        <x:v>Validate P26-REQ-316 using deterministic normal, boundary, invalid-unit, override, changed-library, and permission scenarios as applicable.</x:v>
      </x:c>
      <x:c r="E317" s="12" t="str">
        <x:v>Calculated outputs, units, lineage and approvals match the controlled formula/rule; invalid inputs and unauthorized overrides are blocked.</x:v>
      </x:c>
      <x:c r="F317" s="12" t="str">
        <x:v>Planned</x:v>
      </x:c>
    </x:row>
    <x:row r="318">
      <x:c r="A318" s="12" t="str">
        <x:v>P26-TST-317</x:v>
      </x:c>
      <x:c r="B318" s="12" t="str">
        <x:v>P26-REQ-317</x:v>
      </x:c>
      <x:c r="C318" s="12" t="str">
        <x:v>Subcontract Cost</x:v>
      </x:c>
      <x:c r="D318" s="12" t="str">
        <x:v>Validate P26-REQ-317 using deterministic normal, boundary, invalid-unit, override, changed-library, and permission scenarios as applicable.</x:v>
      </x:c>
      <x:c r="E318" s="12" t="str">
        <x:v>Calculated outputs, units, lineage and approvals match the controlled formula/rule; invalid inputs and unauthorized overrides are blocked.</x:v>
      </x:c>
      <x:c r="F318" s="12" t="str">
        <x:v>Planned</x:v>
      </x:c>
    </x:row>
    <x:row r="319">
      <x:c r="A319" s="12" t="str">
        <x:v>P26-TST-318</x:v>
      </x:c>
      <x:c r="B319" s="12" t="str">
        <x:v>P26-REQ-318</x:v>
      </x:c>
      <x:c r="C319" s="12" t="str">
        <x:v>Production Rate</x:v>
      </x:c>
      <x:c r="D319" s="12" t="str">
        <x:v>Validate P26-REQ-318 using deterministic normal, boundary, invalid-unit, override, changed-library, and permission scenarios as applicable.</x:v>
      </x:c>
      <x:c r="E319" s="12" t="str">
        <x:v>Calculated outputs, units, lineage and approvals match the controlled formula/rule; invalid inputs and unauthorized overrides are blocked.</x:v>
      </x:c>
      <x:c r="F319" s="12" t="str">
        <x:v>Planned</x:v>
      </x:c>
    </x:row>
    <x:row r="320">
      <x:c r="A320" s="12" t="str">
        <x:v>P26-TST-319</x:v>
      </x:c>
      <x:c r="B320" s="12" t="str">
        <x:v>P26-REQ-319</x:v>
      </x:c>
      <x:c r="C320" s="12" t="str">
        <x:v>Production Modifiers</x:v>
      </x:c>
      <x:c r="D320" s="12" t="str">
        <x:v>Validate P26-REQ-319 using deterministic normal, boundary, invalid-unit, override, changed-library, and permission scenarios as applicable.</x:v>
      </x:c>
      <x:c r="E320" s="12" t="str">
        <x:v>Calculated outputs, units, lineage and approvals match the controlled formula/rule; invalid inputs and unauthorized overrides are blocked.</x:v>
      </x:c>
      <x:c r="F320" s="12" t="str">
        <x:v>Planned</x:v>
      </x:c>
    </x:row>
    <x:row r="321">
      <x:c r="A321" s="12" t="str">
        <x:v>P26-TST-320</x:v>
      </x:c>
      <x:c r="B321" s="12" t="str">
        <x:v>P26-REQ-320</x:v>
      </x:c>
      <x:c r="C321" s="12" t="str">
        <x:v>Duration Calculation</x:v>
      </x:c>
      <x:c r="D321" s="12" t="str">
        <x:v>Validate P26-REQ-320 using deterministic normal, boundary, invalid-unit, override, changed-library, and permission scenarios as applicable.</x:v>
      </x:c>
      <x:c r="E321" s="12" t="str">
        <x:v>Calculated outputs, units, lineage and approvals match the controlled formula/rule; invalid inputs and unauthorized overrides are blocked.</x:v>
      </x:c>
      <x:c r="F321" s="12" t="str">
        <x:v>Planned</x:v>
      </x:c>
    </x:row>
    <x:row r="322">
      <x:c r="A322" s="12" t="str">
        <x:v>P26-TST-321</x:v>
      </x:c>
      <x:c r="B322" s="12" t="str">
        <x:v>P26-REQ-321</x:v>
      </x:c>
      <x:c r="C322" s="12" t="str">
        <x:v>Work Hours &amp; Shifts</x:v>
      </x:c>
      <x:c r="D322" s="12" t="str">
        <x:v>Validate P26-REQ-321 using deterministic normal, boundary, invalid-unit, override, changed-library, and permission scenarios as applicable.</x:v>
      </x:c>
      <x:c r="E322" s="12" t="str">
        <x:v>Calculated outputs, units, lineage and approvals match the controlled formula/rule; invalid inputs and unauthorized overrides are blocked.</x:v>
      </x:c>
      <x:c r="F322" s="12" t="str">
        <x:v>Planned</x:v>
      </x:c>
    </x:row>
    <x:row r="323">
      <x:c r="A323" s="12" t="str">
        <x:v>P26-TST-322</x:v>
      </x:c>
      <x:c r="B323" s="12" t="str">
        <x:v>P26-REQ-322</x:v>
      </x:c>
      <x:c r="C323" s="12" t="str">
        <x:v>Mobilization</x:v>
      </x:c>
      <x:c r="D323" s="12" t="str">
        <x:v>Validate P26-REQ-322 using deterministic normal, boundary, invalid-unit, override, changed-library, and permission scenarios as applicable.</x:v>
      </x:c>
      <x:c r="E323" s="12" t="str">
        <x:v>Calculated outputs, units, lineage and approvals match the controlled formula/rule; invalid inputs and unauthorized overrides are blocked.</x:v>
      </x:c>
      <x:c r="F323" s="12" t="str">
        <x:v>Planned</x:v>
      </x:c>
    </x:row>
    <x:row r="324">
      <x:c r="A324" s="12" t="str">
        <x:v>P26-TST-323</x:v>
      </x:c>
      <x:c r="B324" s="12" t="str">
        <x:v>P26-REQ-323</x:v>
      </x:c>
      <x:c r="C324" s="12" t="str">
        <x:v>Demobilization</x:v>
      </x:c>
      <x:c r="D324" s="12" t="str">
        <x:v>Validate P26-REQ-323 using deterministic normal, boundary, invalid-unit, override, changed-library, and permission scenarios as applicable.</x:v>
      </x:c>
      <x:c r="E324" s="12" t="str">
        <x:v>Calculated outputs, units, lineage and approvals match the controlled formula/rule; invalid inputs and unauthorized overrides are blocked.</x:v>
      </x:c>
      <x:c r="F324" s="12" t="str">
        <x:v>Planned</x:v>
      </x:c>
    </x:row>
    <x:row r="325">
      <x:c r="A325" s="12" t="str">
        <x:v>P26-TST-324</x:v>
      </x:c>
      <x:c r="B325" s="12" t="str">
        <x:v>P26-REQ-324</x:v>
      </x:c>
      <x:c r="C325" s="12" t="str">
        <x:v>Indirect Costs</x:v>
      </x:c>
      <x:c r="D325" s="12" t="str">
        <x:v>Validate P26-REQ-324 using deterministic normal, boundary, invalid-unit, override, changed-library, and permission scenarios as applicable.</x:v>
      </x:c>
      <x:c r="E325" s="12" t="str">
        <x:v>Calculated outputs, units, lineage and approvals match the controlled formula/rule; invalid inputs and unauthorized overrides are blocked.</x:v>
      </x:c>
      <x:c r="F325" s="12" t="str">
        <x:v>Planned</x:v>
      </x:c>
    </x:row>
    <x:row r="326">
      <x:c r="A326" s="12" t="str">
        <x:v>P26-TST-325</x:v>
      </x:c>
      <x:c r="B326" s="12" t="str">
        <x:v>P26-REQ-325</x:v>
      </x:c>
      <x:c r="C326" s="12" t="str">
        <x:v>Contingency</x:v>
      </x:c>
      <x:c r="D326" s="12" t="str">
        <x:v>Validate P26-REQ-325 using deterministic normal, boundary, invalid-unit, override, changed-library, and permission scenarios as applicable.</x:v>
      </x:c>
      <x:c r="E326" s="12" t="str">
        <x:v>Calculated outputs, units, lineage and approvals match the controlled formula/rule; invalid inputs and unauthorized overrides are blocked.</x:v>
      </x:c>
      <x:c r="F326" s="12" t="str">
        <x:v>Planned</x:v>
      </x:c>
    </x:row>
    <x:row r="327">
      <x:c r="A327" s="12" t="str">
        <x:v>P26-TST-326</x:v>
      </x:c>
      <x:c r="B327" s="12" t="str">
        <x:v>P26-REQ-326</x:v>
      </x:c>
      <x:c r="C327" s="12" t="str">
        <x:v>Markup</x:v>
      </x:c>
      <x:c r="D327" s="12" t="str">
        <x:v>Validate P26-REQ-326 using deterministic normal, boundary, invalid-unit, override, changed-library, and permission scenarios as applicable.</x:v>
      </x:c>
      <x:c r="E327" s="12" t="str">
        <x:v>Calculated outputs, units, lineage and approvals match the controlled formula/rule; invalid inputs and unauthorized overrides are blocked.</x:v>
      </x:c>
      <x:c r="F327" s="12" t="str">
        <x:v>Planned</x:v>
      </x:c>
    </x:row>
    <x:row r="328">
      <x:c r="A328" s="12" t="str">
        <x:v>P26-TST-327</x:v>
      </x:c>
      <x:c r="B328" s="12" t="str">
        <x:v>P26-REQ-327</x:v>
      </x:c>
      <x:c r="C328" s="12" t="str">
        <x:v>Overhead &amp; Profit</x:v>
      </x:c>
      <x:c r="D328" s="12" t="str">
        <x:v>Validate P26-REQ-327 using deterministic normal, boundary, invalid-unit, override, changed-library, and permission scenarios as applicable.</x:v>
      </x:c>
      <x:c r="E328" s="12" t="str">
        <x:v>Calculated outputs, units, lineage and approvals match the controlled formula/rule; invalid inputs and unauthorized overrides are blocked.</x:v>
      </x:c>
      <x:c r="F328" s="12" t="str">
        <x:v>Planned</x:v>
      </x:c>
    </x:row>
    <x:row r="329">
      <x:c r="A329" s="12" t="str">
        <x:v>P26-TST-328</x:v>
      </x:c>
      <x:c r="B329" s="12" t="str">
        <x:v>P26-REQ-328</x:v>
      </x:c>
      <x:c r="C329" s="12" t="str">
        <x:v>Tax &amp; Bond</x:v>
      </x:c>
      <x:c r="D329" s="12" t="str">
        <x:v>Validate P26-REQ-328 using deterministic normal, boundary, invalid-unit, override, changed-library, and permission scenarios as applicable.</x:v>
      </x:c>
      <x:c r="E329" s="12" t="str">
        <x:v>Calculated outputs, units, lineage and approvals match the controlled formula/rule; invalid inputs and unauthorized overrides are blocked.</x:v>
      </x:c>
      <x:c r="F329" s="12" t="str">
        <x:v>Planned</x:v>
      </x:c>
    </x:row>
    <x:row r="330">
      <x:c r="A330" s="12" t="str">
        <x:v>P26-TST-329</x:v>
      </x:c>
      <x:c r="B330" s="12" t="str">
        <x:v>P26-REQ-329</x:v>
      </x:c>
      <x:c r="C330" s="12" t="str">
        <x:v>Unit Price</x:v>
      </x:c>
      <x:c r="D330" s="12" t="str">
        <x:v>Validate P26-REQ-329 using deterministic normal, boundary, invalid-unit, override, changed-library, and permission scenarios as applicable.</x:v>
      </x:c>
      <x:c r="E330" s="12" t="str">
        <x:v>Calculated outputs, units, lineage and approvals match the controlled formula/rule; invalid inputs and unauthorized overrides are blocked.</x:v>
      </x:c>
      <x:c r="F330" s="12" t="str">
        <x:v>Planned</x:v>
      </x:c>
    </x:row>
    <x:row r="331">
      <x:c r="A331" s="12" t="str">
        <x:v>P26-TST-330</x:v>
      </x:c>
      <x:c r="B331" s="12" t="str">
        <x:v>P26-REQ-330</x:v>
      </x:c>
      <x:c r="C331" s="12" t="str">
        <x:v>Bid Price</x:v>
      </x:c>
      <x:c r="D331" s="12" t="str">
        <x:v>Validate P26-REQ-330 using deterministic normal, boundary, invalid-unit, override, changed-library, and permission scenarios as applicable.</x:v>
      </x:c>
      <x:c r="E331" s="12" t="str">
        <x:v>Calculated outputs, units, lineage and approvals match the controlled formula/rule; invalid inputs and unauthorized overrides are blocked.</x:v>
      </x:c>
      <x:c r="F331" s="12" t="str">
        <x:v>Planned</x:v>
      </x:c>
    </x:row>
    <x:row r="332">
      <x:c r="A332" s="12" t="str">
        <x:v>P26-TST-331</x:v>
      </x:c>
      <x:c r="B332" s="12" t="str">
        <x:v>P26-REQ-331</x:v>
      </x:c>
      <x:c r="C332" s="12" t="str">
        <x:v>Low/High Range</x:v>
      </x:c>
      <x:c r="D332" s="12" t="str">
        <x:v>Validate P26-REQ-331 using deterministic normal, boundary, invalid-unit, override, changed-library, and permission scenarios as applicable.</x:v>
      </x:c>
      <x:c r="E332" s="12" t="str">
        <x:v>Calculated outputs, units, lineage and approvals match the controlled formula/rule; invalid inputs and unauthorized overrides are blocked.</x:v>
      </x:c>
      <x:c r="F332" s="12" t="str">
        <x:v>Planned</x:v>
      </x:c>
    </x:row>
    <x:row r="333">
      <x:c r="A333" s="12" t="str">
        <x:v>P26-TST-332</x:v>
      </x:c>
      <x:c r="B333" s="12" t="str">
        <x:v>P26-REQ-332</x:v>
      </x:c>
      <x:c r="C333" s="12" t="str">
        <x:v>Scenario Comparison</x:v>
      </x:c>
      <x:c r="D333" s="12" t="str">
        <x:v>Validate P26-REQ-332 using deterministic normal, boundary, invalid-unit, override, changed-library, and permission scenarios as applicable.</x:v>
      </x:c>
      <x:c r="E333" s="12" t="str">
        <x:v>Calculated outputs, units, lineage and approvals match the controlled formula/rule; invalid inputs and unauthorized overrides are blocked.</x:v>
      </x:c>
      <x:c r="F333" s="12" t="str">
        <x:v>Planned</x:v>
      </x:c>
    </x:row>
    <x:row r="334">
      <x:c r="A334" s="12" t="str">
        <x:v>P26-TST-333</x:v>
      </x:c>
      <x:c r="B334" s="12" t="str">
        <x:v>P26-REQ-333</x:v>
      </x:c>
      <x:c r="C334" s="12" t="str">
        <x:v>Estimate Confidence</x:v>
      </x:c>
      <x:c r="D334" s="12" t="str">
        <x:v>Validate P26-REQ-333 using deterministic normal, boundary, invalid-unit, override, changed-library, and permission scenarios as applicable.</x:v>
      </x:c>
      <x:c r="E334" s="12" t="str">
        <x:v>Calculated outputs, units, lineage and approvals match the controlled formula/rule; invalid inputs and unauthorized overrides are blocked.</x:v>
      </x:c>
      <x:c r="F334" s="12" t="str">
        <x:v>Planned</x:v>
      </x:c>
    </x:row>
    <x:row r="335">
      <x:c r="A335" s="12" t="str">
        <x:v>P26-TST-334</x:v>
      </x:c>
      <x:c r="B335" s="12" t="str">
        <x:v>P26-REQ-334</x:v>
      </x:c>
      <x:c r="C335" s="12" t="str">
        <x:v>Regional Pricing</x:v>
      </x:c>
      <x:c r="D335" s="12" t="str">
        <x:v>Validate P26-REQ-334 using deterministic normal, boundary, invalid-unit, override, changed-library, and permission scenarios as applicable.</x:v>
      </x:c>
      <x:c r="E335" s="12" t="str">
        <x:v>Calculated outputs, units, lineage and approvals match the controlled formula/rule; invalid inputs and unauthorized overrides are blocked.</x:v>
      </x:c>
      <x:c r="F335" s="12" t="str">
        <x:v>Planned</x:v>
      </x:c>
    </x:row>
    <x:row r="336">
      <x:c r="A336" s="12" t="str">
        <x:v>P26-TST-335</x:v>
      </x:c>
      <x:c r="B336" s="12" t="str">
        <x:v>P26-REQ-335</x:v>
      </x:c>
      <x:c r="C336" s="12" t="str">
        <x:v>Vendor Quote Override</x:v>
      </x:c>
      <x:c r="D336" s="12" t="str">
        <x:v>Validate P26-REQ-335 using deterministic normal, boundary, invalid-unit, override, changed-library, and permission scenarios as applicable.</x:v>
      </x:c>
      <x:c r="E336" s="12" t="str">
        <x:v>Calculated outputs, units, lineage and approvals match the controlled formula/rule; invalid inputs and unauthorized overrides are blocked.</x:v>
      </x:c>
      <x:c r="F336" s="12" t="str">
        <x:v>Planned</x:v>
      </x:c>
    </x:row>
    <x:row r="337">
      <x:c r="A337" s="12" t="str">
        <x:v>P26-TST-336</x:v>
      </x:c>
      <x:c r="B337" s="12" t="str">
        <x:v>P26-REQ-336</x:v>
      </x:c>
      <x:c r="C337" s="12" t="str">
        <x:v>Snapshot Reproducibility</x:v>
      </x:c>
      <x:c r="D337" s="12" t="str">
        <x:v>Validate P26-REQ-336 using deterministic normal, boundary, invalid-unit, override, changed-library, and permission scenarios as applicable.</x:v>
      </x:c>
      <x:c r="E337" s="12" t="str">
        <x:v>Calculated outputs, units, lineage and approvals match the controlled formula/rule; invalid inputs and unauthorized overrides are blocked.</x:v>
      </x:c>
      <x:c r="F337" s="12" t="str">
        <x:v>Planned</x:v>
      </x:c>
    </x:row>
    <x:row r="338">
      <x:c r="A338" s="12" t="str">
        <x:v>P26-TST-337</x:v>
      </x:c>
      <x:c r="B338" s="12" t="str">
        <x:v>P26-REQ-337</x:v>
      </x:c>
      <x:c r="C338" s="12" t="str">
        <x:v>Service Catalog Writeback</x:v>
      </x:c>
      <x:c r="D338" s="12" t="str">
        <x:v>Validate P26-REQ-337 using deterministic normal, boundary, invalid-unit, override, changed-library, and permission scenarios as applicable.</x:v>
      </x:c>
      <x:c r="E338" s="12" t="str">
        <x:v>Calculated outputs, units, lineage and approvals match the controlled formula/rule; invalid inputs and unauthorized overrides are blocked.</x:v>
      </x:c>
      <x:c r="F338" s="12" t="str">
        <x:v>Planned</x:v>
      </x:c>
    </x:row>
    <x:row r="339">
      <x:c r="A339" s="12" t="str">
        <x:v>P26-TST-338</x:v>
      </x:c>
      <x:c r="B339" s="12" t="str">
        <x:v>P26-REQ-338</x:v>
      </x:c>
      <x:c r="C339" s="12" t="str">
        <x:v>AI Estimate Assist</x:v>
      </x:c>
      <x:c r="D339" s="12" t="str">
        <x:v>Validate P26-REQ-338 using deterministic normal, boundary, invalid-unit, override, changed-library, and permission scenarios as applicable.</x:v>
      </x:c>
      <x:c r="E339" s="12" t="str">
        <x:v>Calculated outputs, units, lineage and approvals match the controlled formula/rule; invalid inputs and unauthorized overrides are blocked.</x:v>
      </x:c>
      <x:c r="F339" s="12" t="str">
        <x:v>Planned</x:v>
      </x:c>
    </x:row>
    <x:row r="340">
      <x:c r="A340" s="12" t="str">
        <x:v>P26-TST-339</x:v>
      </x:c>
      <x:c r="B340" s="12" t="str">
        <x:v>P26-REQ-339</x:v>
      </x:c>
      <x:c r="C340" s="12" t="str">
        <x:v>Estimate Review &amp; Approval</x:v>
      </x:c>
      <x:c r="D340" s="12" t="str">
        <x:v>Validate P26-REQ-339 using deterministic normal, boundary, invalid-unit, override, changed-library, and permission scenarios as applicable.</x:v>
      </x:c>
      <x:c r="E340" s="12" t="str">
        <x:v>Calculated outputs, units, lineage and approvals match the controlled formula/rule; invalid inputs and unauthorized overrides are blocked.</x:v>
      </x:c>
      <x:c r="F340" s="12" t="str">
        <x:v>Planned</x:v>
      </x:c>
    </x:row>
    <x:row r="341">
      <x:c r="A341" s="12" t="str">
        <x:v>P26-TST-340</x:v>
      </x:c>
      <x:c r="B341" s="12" t="str">
        <x:v>P26-REQ-340</x:v>
      </x:c>
      <x:c r="C341" s="12" t="str">
        <x:v>Estimate Export</x:v>
      </x:c>
      <x:c r="D341" s="12" t="str">
        <x:v>Validate P26-REQ-340 using deterministic normal, boundary, invalid-unit, override, changed-library, and permission scenarios as applicable.</x:v>
      </x:c>
      <x:c r="E341" s="12" t="str">
        <x:v>Calculated outputs, units, lineage and approvals match the controlled formula/rule; invalid inputs and unauthorized overrides are blocked.</x:v>
      </x:c>
      <x:c r="F341" s="12" t="str">
        <x:v>Planned</x:v>
      </x:c>
    </x:row>
    <x:row r="342">
      <x:c r="A342" s="12" t="str">
        <x:v>P26-TST-341</x:v>
      </x:c>
      <x:c r="B342" s="12" t="str">
        <x:v>P26-REQ-341</x:v>
      </x:c>
      <x:c r="C342" s="12" t="str">
        <x:v>Proposal Handoff</x:v>
      </x:c>
      <x:c r="D342" s="12" t="str">
        <x:v>Validate P26-REQ-341 using deterministic normal, boundary, invalid-unit, override, changed-library, and permission scenarios as applicable.</x:v>
      </x:c>
      <x:c r="E342" s="12" t="str">
        <x:v>Calculated outputs, units, lineage and approvals match the controlled formula/rule; invalid inputs and unauthorized overrides are blocked.</x:v>
      </x:c>
      <x:c r="F342" s="12" t="str">
        <x:v>Planned</x:v>
      </x:c>
    </x:row>
    <x:row r="343">
      <x:c r="A343" s="12" t="str">
        <x:v>P26-TST-342</x:v>
      </x:c>
      <x:c r="B343" s="12" t="str">
        <x:v>P26-REQ-342</x:v>
      </x:c>
      <x:c r="C343" s="12" t="str">
        <x:v>Job Cost Baseline</x:v>
      </x:c>
      <x:c r="D343" s="12" t="str">
        <x:v>Validate P26-REQ-342 using deterministic normal, boundary, invalid-unit, override, changed-library, and permission scenarios as applicable.</x:v>
      </x:c>
      <x:c r="E343" s="12" t="str">
        <x:v>Calculated outputs, units, lineage and approvals match the controlled formula/rule; invalid inputs and unauthorized overrides are blocked.</x:v>
      </x:c>
      <x:c r="F343" s="12" t="str">
        <x:v>Planned</x:v>
      </x:c>
    </x:row>
    <x:row r="344">
      <x:c r="A344" s="12" t="str">
        <x:v>P26-TST-343</x:v>
      </x:c>
      <x:c r="B344" s="12" t="str">
        <x:v>P26-REQ-343</x:v>
      </x:c>
      <x:c r="C344" s="12" t="str">
        <x:v>Audit &amp; Traceability</x:v>
      </x:c>
      <x:c r="D344" s="12" t="str">
        <x:v>Validate P26-REQ-343 using deterministic normal, boundary, invalid-unit, override, changed-library, and permission scenarios as applicable.</x:v>
      </x:c>
      <x:c r="E344" s="12" t="str">
        <x:v>Calculated outputs, units, lineage and approvals match the controlled formula/rule; invalid inputs and unauthorized overrides are blocked.</x:v>
      </x:c>
      <x:c r="F344" s="12" t="str">
        <x:v>Planned</x:v>
      </x:c>
    </x:row>
    <x:row r="345">
      <x:c r="A345" s="12" t="str">
        <x:v>P26-TST-344</x:v>
      </x:c>
      <x:c r="B345" s="12" t="str">
        <x:v>P26-REQ-344</x:v>
      </x:c>
      <x:c r="C345" s="12" t="str">
        <x:v>Estimate Lifecycle</x:v>
      </x:c>
      <x:c r="D345" s="12" t="str">
        <x:v>Validate P26-REQ-344 using deterministic normal, boundary, invalid-unit, override, changed-library, and permission scenarios as applicable.</x:v>
      </x:c>
      <x:c r="E345" s="12" t="str">
        <x:v>Calculated outputs, units, lineage and approvals match the controlled formula/rule; invalid inputs and unauthorized overrides are blocked.</x:v>
      </x:c>
      <x:c r="F345" s="12" t="str">
        <x:v>Planned</x:v>
      </x:c>
    </x:row>
    <x:row r="346">
      <x:c r="A346" s="12" t="str">
        <x:v>P26-TST-345</x:v>
      </x:c>
      <x:c r="B346" s="12" t="str">
        <x:v>P26-REQ-345</x:v>
      </x:c>
      <x:c r="C346" s="12" t="str">
        <x:v>Estimate Versions</x:v>
      </x:c>
      <x:c r="D346" s="12" t="str">
        <x:v>Validate P26-REQ-345 using deterministic normal, boundary, invalid-unit, override, changed-library, and permission scenarios as applicable.</x:v>
      </x:c>
      <x:c r="E346" s="12" t="str">
        <x:v>Calculated outputs, units, lineage and approvals match the controlled formula/rule; invalid inputs and unauthorized overrides are blocked.</x:v>
      </x:c>
      <x:c r="F346" s="12" t="str">
        <x:v>Planned</x:v>
      </x:c>
    </x:row>
    <x:row r="347">
      <x:c r="A347" s="12" t="str">
        <x:v>P26-TST-346</x:v>
      </x:c>
      <x:c r="B347" s="12" t="str">
        <x:v>P26-REQ-346</x:v>
      </x:c>
      <x:c r="C347" s="12" t="str">
        <x:v>Estimate Templates</x:v>
      </x:c>
      <x:c r="D347" s="12" t="str">
        <x:v>Validate P26-REQ-346 using deterministic normal, boundary, invalid-unit, override, changed-library, and permission scenarios as applicable.</x:v>
      </x:c>
      <x:c r="E347" s="12" t="str">
        <x:v>Calculated outputs, units, lineage and approvals match the controlled formula/rule; invalid inputs and unauthorized overrides are blocked.</x:v>
      </x:c>
      <x:c r="F347" s="12" t="str">
        <x:v>Planned</x:v>
      </x:c>
    </x:row>
    <x:row r="348">
      <x:c r="A348" s="12" t="str">
        <x:v>P26-TST-347</x:v>
      </x:c>
      <x:c r="B348" s="12" t="str">
        <x:v>P26-REQ-347</x:v>
      </x:c>
      <x:c r="C348" s="12" t="str">
        <x:v>Service Selection</x:v>
      </x:c>
      <x:c r="D348" s="12" t="str">
        <x:v>Validate P26-REQ-347 using deterministic normal, boundary, invalid-unit, override, changed-library, and permission scenarios as applicable.</x:v>
      </x:c>
      <x:c r="E348" s="12" t="str">
        <x:v>Calculated outputs, units, lineage and approvals match the controlled formula/rule; invalid inputs and unauthorized overrides are blocked.</x:v>
      </x:c>
      <x:c r="F348" s="12" t="str">
        <x:v>Planned</x:v>
      </x:c>
    </x:row>
    <x:row r="349">
      <x:c r="A349" s="12" t="str">
        <x:v>P26-TST-348</x:v>
      </x:c>
      <x:c r="B349" s="12" t="str">
        <x:v>P26-REQ-348</x:v>
      </x:c>
      <x:c r="C349" s="12" t="str">
        <x:v>Assembly Expansion</x:v>
      </x:c>
      <x:c r="D349" s="12" t="str">
        <x:v>Validate P26-REQ-348 using deterministic normal, boundary, invalid-unit, override, changed-library, and permission scenarios as applicable.</x:v>
      </x:c>
      <x:c r="E349" s="12" t="str">
        <x:v>Calculated outputs, units, lineage and approvals match the controlled formula/rule; invalid inputs and unauthorized overrides are blocked.</x:v>
      </x:c>
      <x:c r="F349" s="12" t="str">
        <x:v>Planned</x:v>
      </x:c>
    </x:row>
    <x:row r="350">
      <x:c r="A350" s="12" t="str">
        <x:v>P26-TST-349</x:v>
      </x:c>
      <x:c r="B350" s="12" t="str">
        <x:v>P26-REQ-349</x:v>
      </x:c>
      <x:c r="C350" s="12" t="str">
        <x:v>Quantity Input</x:v>
      </x:c>
      <x:c r="D350" s="12" t="str">
        <x:v>Validate P26-REQ-349 using deterministic normal, boundary, invalid-unit, override, changed-library, and permission scenarios as applicable.</x:v>
      </x:c>
      <x:c r="E350" s="12" t="str">
        <x:v>Calculated outputs, units, lineage and approvals match the controlled formula/rule; invalid inputs and unauthorized overrides are blocked.</x:v>
      </x:c>
      <x:c r="F350" s="12" t="str">
        <x:v>Planned</x:v>
      </x:c>
    </x:row>
    <x:row r="351">
      <x:c r="A351" s="12" t="str">
        <x:v>P26-TST-350</x:v>
      </x:c>
      <x:c r="B351" s="12" t="str">
        <x:v>P26-REQ-350</x:v>
      </x:c>
      <x:c r="C351" s="12" t="str">
        <x:v>Quantity Takeoff Intake</x:v>
      </x:c>
      <x:c r="D351" s="12" t="str">
        <x:v>Validate P26-REQ-350 using deterministic normal, boundary, invalid-unit, override, changed-library, and permission scenarios as applicable.</x:v>
      </x:c>
      <x:c r="E351" s="12" t="str">
        <x:v>Calculated outputs, units, lineage and approvals match the controlled formula/rule; invalid inputs and unauthorized overrides are blocked.</x:v>
      </x:c>
      <x:c r="F351" s="12" t="str">
        <x:v>Planned</x:v>
      </x:c>
    </x:row>
    <x:row r="352">
      <x:c r="A352" s="12" t="str">
        <x:v>P26-TST-351</x:v>
      </x:c>
      <x:c r="B352" s="12" t="str">
        <x:v>P26-REQ-351</x:v>
      </x:c>
      <x:c r="C352" s="12" t="str">
        <x:v>Labor Cost</x:v>
      </x:c>
      <x:c r="D352" s="12" t="str">
        <x:v>Validate P26-REQ-351 using deterministic normal, boundary, invalid-unit, override, changed-library, and permission scenarios as applicable.</x:v>
      </x:c>
      <x:c r="E352" s="12" t="str">
        <x:v>Calculated outputs, units, lineage and approvals match the controlled formula/rule; invalid inputs and unauthorized overrides are blocked.</x:v>
      </x:c>
      <x:c r="F352" s="12" t="str">
        <x:v>Planned</x:v>
      </x:c>
    </x:row>
    <x:row r="353">
      <x:c r="A353" s="12" t="str">
        <x:v>P26-TST-352</x:v>
      </x:c>
      <x:c r="B353" s="12" t="str">
        <x:v>P26-REQ-352</x:v>
      </x:c>
      <x:c r="C353" s="12" t="str">
        <x:v>Labor Burden</x:v>
      </x:c>
      <x:c r="D353" s="12" t="str">
        <x:v>Validate P26-REQ-352 using deterministic normal, boundary, invalid-unit, override, changed-library, and permission scenarios as applicable.</x:v>
      </x:c>
      <x:c r="E353" s="12" t="str">
        <x:v>Calculated outputs, units, lineage and approvals match the controlled formula/rule; invalid inputs and unauthorized overrides are blocked.</x:v>
      </x:c>
      <x:c r="F353" s="12" t="str">
        <x:v>Planned</x:v>
      </x:c>
    </x:row>
    <x:row r="354">
      <x:c r="A354" s="12" t="str">
        <x:v>P26-TST-353</x:v>
      </x:c>
      <x:c r="B354" s="12" t="str">
        <x:v>P26-REQ-353</x:v>
      </x:c>
      <x:c r="C354" s="12" t="str">
        <x:v>Crew Composition</x:v>
      </x:c>
      <x:c r="D354" s="12" t="str">
        <x:v>Validate P26-REQ-353 using deterministic normal, boundary, invalid-unit, override, changed-library, and permission scenarios as applicable.</x:v>
      </x:c>
      <x:c r="E354" s="12" t="str">
        <x:v>Calculated outputs, units, lineage and approvals match the controlled formula/rule; invalid inputs and unauthorized overrides are blocked.</x:v>
      </x:c>
      <x:c r="F354" s="12" t="str">
        <x:v>Planned</x:v>
      </x:c>
    </x:row>
    <x:row r="355">
      <x:c r="A355" s="12" t="str">
        <x:v>P26-TST-354</x:v>
      </x:c>
      <x:c r="B355" s="12" t="str">
        <x:v>P26-REQ-354</x:v>
      </x:c>
      <x:c r="C355" s="12" t="str">
        <x:v>Crew Size Recommendation</x:v>
      </x:c>
      <x:c r="D355" s="12" t="str">
        <x:v>Validate P26-REQ-354 using deterministic normal, boundary, invalid-unit, override, changed-library, and permission scenarios as applicable.</x:v>
      </x:c>
      <x:c r="E355" s="12" t="str">
        <x:v>Calculated outputs, units, lineage and approvals match the controlled formula/rule; invalid inputs and unauthorized overrides are blocked.</x:v>
      </x:c>
      <x:c r="F355" s="12" t="str">
        <x:v>Planned</x:v>
      </x:c>
    </x:row>
    <x:row r="356">
      <x:c r="A356" s="12" t="str">
        <x:v>P26-TST-355</x:v>
      </x:c>
      <x:c r="B356" s="12" t="str">
        <x:v>P26-REQ-355</x:v>
      </x:c>
      <x:c r="C356" s="12" t="str">
        <x:v>Equipment Selection</x:v>
      </x:c>
      <x:c r="D356" s="12" t="str">
        <x:v>Validate P26-REQ-355 using deterministic normal, boundary, invalid-unit, override, changed-library, and permission scenarios as applicable.</x:v>
      </x:c>
      <x:c r="E356" s="12" t="str">
        <x:v>Calculated outputs, units, lineage and approvals match the controlled formula/rule; invalid inputs and unauthorized overrides are blocked.</x:v>
      </x:c>
      <x:c r="F356" s="12" t="str">
        <x:v>Planned</x:v>
      </x:c>
    </x:row>
    <x:row r="357">
      <x:c r="A357" s="12" t="str">
        <x:v>P26-TST-356</x:v>
      </x:c>
      <x:c r="B357" s="12" t="str">
        <x:v>P26-REQ-356</x:v>
      </x:c>
      <x:c r="C357" s="12" t="str">
        <x:v>Equipment Cost</x:v>
      </x:c>
      <x:c r="D357" s="12" t="str">
        <x:v>Validate P26-REQ-356 using deterministic normal, boundary, invalid-unit, override, changed-library, and permission scenarios as applicable.</x:v>
      </x:c>
      <x:c r="E357" s="12" t="str">
        <x:v>Calculated outputs, units, lineage and approvals match the controlled formula/rule; invalid inputs and unauthorized overrides are blocked.</x:v>
      </x:c>
      <x:c r="F357" s="12" t="str">
        <x:v>Planned</x:v>
      </x:c>
    </x:row>
    <x:row r="358">
      <x:c r="A358" s="12" t="str">
        <x:v>P26-TST-357</x:v>
      </x:c>
      <x:c r="B358" s="12" t="str">
        <x:v>P26-REQ-357</x:v>
      </x:c>
      <x:c r="C358" s="12" t="str">
        <x:v>Equipment Rate Selection</x:v>
      </x:c>
      <x:c r="D358" s="12" t="str">
        <x:v>Validate P26-REQ-357 using deterministic normal, boundary, invalid-unit, override, changed-library, and permission scenarios as applicable.</x:v>
      </x:c>
      <x:c r="E358" s="12" t="str">
        <x:v>Calculated outputs, units, lineage and approvals match the controlled formula/rule; invalid inputs and unauthorized overrides are blocked.</x:v>
      </x:c>
      <x:c r="F358" s="12" t="str">
        <x:v>Planned</x:v>
      </x:c>
    </x:row>
    <x:row r="359">
      <x:c r="A359" s="12" t="str">
        <x:v>P26-TST-358</x:v>
      </x:c>
      <x:c r="B359" s="12" t="str">
        <x:v>P26-REQ-358</x:v>
      </x:c>
      <x:c r="C359" s="12" t="str">
        <x:v>Fuel Consumption</x:v>
      </x:c>
      <x:c r="D359" s="12" t="str">
        <x:v>Validate P26-REQ-358 using deterministic normal, boundary, invalid-unit, override, changed-library, and permission scenarios as applicable.</x:v>
      </x:c>
      <x:c r="E359" s="12" t="str">
        <x:v>Calculated outputs, units, lineage and approvals match the controlled formula/rule; invalid inputs and unauthorized overrides are blocked.</x:v>
      </x:c>
      <x:c r="F359" s="12" t="str">
        <x:v>Planned</x:v>
      </x:c>
    </x:row>
    <x:row r="360">
      <x:c r="A360" s="12" t="str">
        <x:v>P26-TST-359</x:v>
      </x:c>
      <x:c r="B360" s="12" t="str">
        <x:v>P26-REQ-359</x:v>
      </x:c>
      <x:c r="C360" s="12" t="str">
        <x:v>Truck Selection</x:v>
      </x:c>
      <x:c r="D360" s="12" t="str">
        <x:v>Validate P26-REQ-359 using deterministic normal, boundary, invalid-unit, override, changed-library, and permission scenarios as applicable.</x:v>
      </x:c>
      <x:c r="E360" s="12" t="str">
        <x:v>Calculated outputs, units, lineage and approvals match the controlled formula/rule; invalid inputs and unauthorized overrides are blocked.</x:v>
      </x:c>
      <x:c r="F360" s="12" t="str">
        <x:v>Planned</x:v>
      </x:c>
    </x:row>
    <x:row r="361">
      <x:c r="A361" s="12" t="str">
        <x:v>P26-TST-360</x:v>
      </x:c>
      <x:c r="B361" s="12" t="str">
        <x:v>P26-REQ-360</x:v>
      </x:c>
      <x:c r="C361" s="12" t="str">
        <x:v>Truck Cycle Calculation</x:v>
      </x:c>
      <x:c r="D361" s="12" t="str">
        <x:v>Validate P26-REQ-360 using deterministic normal, boundary, invalid-unit, override, changed-library, and permission scenarios as applicable.</x:v>
      </x:c>
      <x:c r="E361" s="12" t="str">
        <x:v>Calculated outputs, units, lineage and approvals match the controlled formula/rule; invalid inputs and unauthorized overrides are blocked.</x:v>
      </x:c>
      <x:c r="F361" s="12" t="str">
        <x:v>Planned</x:v>
      </x:c>
    </x:row>
    <x:row r="362">
      <x:c r="A362" s="12" t="str">
        <x:v>P26-TST-361</x:v>
      </x:c>
      <x:c r="B362" s="12" t="str">
        <x:v>P26-REQ-361</x:v>
      </x:c>
      <x:c r="C362" s="12" t="str">
        <x:v>Truck Count</x:v>
      </x:c>
      <x:c r="D362" s="12" t="str">
        <x:v>Validate P26-REQ-361 using deterministic normal, boundary, invalid-unit, override, changed-library, and permission scenarios as applicable.</x:v>
      </x:c>
      <x:c r="E362" s="12" t="str">
        <x:v>Calculated outputs, units, lineage and approvals match the controlled formula/rule; invalid inputs and unauthorized overrides are blocked.</x:v>
      </x:c>
      <x:c r="F362" s="12" t="str">
        <x:v>Planned</x:v>
      </x:c>
    </x:row>
    <x:row r="363">
      <x:c r="A363" s="12" t="str">
        <x:v>P26-TST-362</x:v>
      </x:c>
      <x:c r="B363" s="12" t="str">
        <x:v>P26-REQ-362</x:v>
      </x:c>
      <x:c r="C363" s="12" t="str">
        <x:v>Haul Distance</x:v>
      </x:c>
      <x:c r="D363" s="12" t="str">
        <x:v>Validate P26-REQ-362 using deterministic normal, boundary, invalid-unit, override, changed-library, and permission scenarios as applicable.</x:v>
      </x:c>
      <x:c r="E363" s="12" t="str">
        <x:v>Calculated outputs, units, lineage and approvals match the controlled formula/rule; invalid inputs and unauthorized overrides are blocked.</x:v>
      </x:c>
      <x:c r="F363" s="12" t="str">
        <x:v>Planned</x:v>
      </x:c>
    </x:row>
    <x:row r="364">
      <x:c r="A364" s="12" t="str">
        <x:v>P26-TST-363</x:v>
      </x:c>
      <x:c r="B364" s="12" t="str">
        <x:v>P26-REQ-363</x:v>
      </x:c>
      <x:c r="C364" s="12" t="str">
        <x:v>Disposal Cost</x:v>
      </x:c>
      <x:c r="D364" s="12" t="str">
        <x:v>Validate P26-REQ-363 using deterministic normal, boundary, invalid-unit, override, changed-library, and permission scenarios as applicable.</x:v>
      </x:c>
      <x:c r="E364" s="12" t="str">
        <x:v>Calculated outputs, units, lineage and approvals match the controlled formula/rule; invalid inputs and unauthorized overrides are blocked.</x:v>
      </x:c>
      <x:c r="F364" s="12" t="str">
        <x:v>Planned</x:v>
      </x:c>
    </x:row>
    <x:row r="365">
      <x:c r="A365" s="12" t="str">
        <x:v>P26-TST-364</x:v>
      </x:c>
      <x:c r="B365" s="12" t="str">
        <x:v>P26-REQ-364</x:v>
      </x:c>
      <x:c r="C365" s="12" t="str">
        <x:v>Material Cost</x:v>
      </x:c>
      <x:c r="D365" s="12" t="str">
        <x:v>Validate P26-REQ-364 using deterministic normal, boundary, invalid-unit, override, changed-library, and permission scenarios as applicable.</x:v>
      </x:c>
      <x:c r="E365" s="12" t="str">
        <x:v>Calculated outputs, units, lineage and approvals match the controlled formula/rule; invalid inputs and unauthorized overrides are blocked.</x:v>
      </x:c>
      <x:c r="F365" s="12" t="str">
        <x:v>Planned</x:v>
      </x:c>
    </x:row>
    <x:row r="366">
      <x:c r="A366" s="12" t="str">
        <x:v>P26-TST-365</x:v>
      </x:c>
      <x:c r="B366" s="12" t="str">
        <x:v>P26-REQ-365</x:v>
      </x:c>
      <x:c r="C366" s="12" t="str">
        <x:v>Material Waste</x:v>
      </x:c>
      <x:c r="D366" s="12" t="str">
        <x:v>Validate P26-REQ-365 using deterministic normal, boundary, invalid-unit, override, changed-library, and permission scenarios as applicable.</x:v>
      </x:c>
      <x:c r="E366" s="12" t="str">
        <x:v>Calculated outputs, units, lineage and approvals match the controlled formula/rule; invalid inputs and unauthorized overrides are blocked.</x:v>
      </x:c>
      <x:c r="F366" s="12" t="str">
        <x:v>Planned</x:v>
      </x:c>
    </x:row>
    <x:row r="367">
      <x:c r="A367" s="12" t="str">
        <x:v>P26-TST-366</x:v>
      </x:c>
      <x:c r="B367" s="12" t="str">
        <x:v>P26-REQ-366</x:v>
      </x:c>
      <x:c r="C367" s="12" t="str">
        <x:v>Subcontract Cost</x:v>
      </x:c>
      <x:c r="D367" s="12" t="str">
        <x:v>Validate P26-REQ-366 using deterministic normal, boundary, invalid-unit, override, changed-library, and permission scenarios as applicable.</x:v>
      </x:c>
      <x:c r="E367" s="12" t="str">
        <x:v>Calculated outputs, units, lineage and approvals match the controlled formula/rule; invalid inputs and unauthorized overrides are blocked.</x:v>
      </x:c>
      <x:c r="F367" s="12" t="str">
        <x:v>Planned</x:v>
      </x:c>
    </x:row>
    <x:row r="368">
      <x:c r="A368" s="12" t="str">
        <x:v>P26-TST-367</x:v>
      </x:c>
      <x:c r="B368" s="12" t="str">
        <x:v>P26-REQ-367</x:v>
      </x:c>
      <x:c r="C368" s="12" t="str">
        <x:v>Production Rate</x:v>
      </x:c>
      <x:c r="D368" s="12" t="str">
        <x:v>Validate P26-REQ-367 using deterministic normal, boundary, invalid-unit, override, changed-library, and permission scenarios as applicable.</x:v>
      </x:c>
      <x:c r="E368" s="12" t="str">
        <x:v>Calculated outputs, units, lineage and approvals match the controlled formula/rule; invalid inputs and unauthorized overrides are blocked.</x:v>
      </x:c>
      <x:c r="F368" s="12" t="str">
        <x:v>Planned</x:v>
      </x:c>
    </x:row>
    <x:row r="369">
      <x:c r="A369" s="12" t="str">
        <x:v>P26-TST-368</x:v>
      </x:c>
      <x:c r="B369" s="12" t="str">
        <x:v>P26-REQ-368</x:v>
      </x:c>
      <x:c r="C369" s="12" t="str">
        <x:v>Production Modifiers</x:v>
      </x:c>
      <x:c r="D369" s="12" t="str">
        <x:v>Validate P26-REQ-368 using deterministic normal, boundary, invalid-unit, override, changed-library, and permission scenarios as applicable.</x:v>
      </x:c>
      <x:c r="E369" s="12" t="str">
        <x:v>Calculated outputs, units, lineage and approvals match the controlled formula/rule; invalid inputs and unauthorized overrides are blocked.</x:v>
      </x:c>
      <x:c r="F369" s="12" t="str">
        <x:v>Planned</x:v>
      </x:c>
    </x:row>
    <x:row r="370">
      <x:c r="A370" s="12" t="str">
        <x:v>P26-TST-369</x:v>
      </x:c>
      <x:c r="B370" s="12" t="str">
        <x:v>P26-REQ-369</x:v>
      </x:c>
      <x:c r="C370" s="12" t="str">
        <x:v>Duration Calculation</x:v>
      </x:c>
      <x:c r="D370" s="12" t="str">
        <x:v>Validate P26-REQ-369 using deterministic normal, boundary, invalid-unit, override, changed-library, and permission scenarios as applicable.</x:v>
      </x:c>
      <x:c r="E370" s="12" t="str">
        <x:v>Calculated outputs, units, lineage and approvals match the controlled formula/rule; invalid inputs and unauthorized overrides are blocked.</x:v>
      </x:c>
      <x:c r="F370" s="12" t="str">
        <x:v>Planned</x:v>
      </x:c>
    </x:row>
    <x:row r="371">
      <x:c r="A371" s="12" t="str">
        <x:v>P26-TST-370</x:v>
      </x:c>
      <x:c r="B371" s="12" t="str">
        <x:v>P26-REQ-370</x:v>
      </x:c>
      <x:c r="C371" s="12" t="str">
        <x:v>Work Hours &amp; Shifts</x:v>
      </x:c>
      <x:c r="D371" s="12" t="str">
        <x:v>Validate P26-REQ-370 using deterministic normal, boundary, invalid-unit, override, changed-library, and permission scenarios as applicable.</x:v>
      </x:c>
      <x:c r="E371" s="12" t="str">
        <x:v>Calculated outputs, units, lineage and approvals match the controlled formula/rule; invalid inputs and unauthorized overrides are blocked.</x:v>
      </x:c>
      <x:c r="F371" s="12" t="str">
        <x:v>Planned</x:v>
      </x:c>
    </x:row>
    <x:row r="372">
      <x:c r="A372" s="12" t="str">
        <x:v>P26-TST-371</x:v>
      </x:c>
      <x:c r="B372" s="12" t="str">
        <x:v>P26-REQ-371</x:v>
      </x:c>
      <x:c r="C372" s="12" t="str">
        <x:v>Mobilization</x:v>
      </x:c>
      <x:c r="D372" s="12" t="str">
        <x:v>Validate P26-REQ-371 using deterministic normal, boundary, invalid-unit, override, changed-library, and permission scenarios as applicable.</x:v>
      </x:c>
      <x:c r="E372" s="12" t="str">
        <x:v>Calculated outputs, units, lineage and approvals match the controlled formula/rule; invalid inputs and unauthorized overrides are blocked.</x:v>
      </x:c>
      <x:c r="F372" s="12" t="str">
        <x:v>Planned</x:v>
      </x:c>
    </x:row>
    <x:row r="373">
      <x:c r="A373" s="12" t="str">
        <x:v>P26-TST-372</x:v>
      </x:c>
      <x:c r="B373" s="12" t="str">
        <x:v>P26-REQ-372</x:v>
      </x:c>
      <x:c r="C373" s="12" t="str">
        <x:v>Demobilization</x:v>
      </x:c>
      <x:c r="D373" s="12" t="str">
        <x:v>Validate P26-REQ-372 using deterministic normal, boundary, invalid-unit, override, changed-library, and permission scenarios as applicable.</x:v>
      </x:c>
      <x:c r="E373" s="12" t="str">
        <x:v>Calculated outputs, units, lineage and approvals match the controlled formula/rule; invalid inputs and unauthorized overrides are blocked.</x:v>
      </x:c>
      <x:c r="F373" s="12" t="str">
        <x:v>Planned</x:v>
      </x:c>
    </x:row>
    <x:row r="374">
      <x:c r="A374" s="12" t="str">
        <x:v>P26-TST-373</x:v>
      </x:c>
      <x:c r="B374" s="12" t="str">
        <x:v>P26-REQ-373</x:v>
      </x:c>
      <x:c r="C374" s="12" t="str">
        <x:v>Indirect Costs</x:v>
      </x:c>
      <x:c r="D374" s="12" t="str">
        <x:v>Validate P26-REQ-373 using deterministic normal, boundary, invalid-unit, override, changed-library, and permission scenarios as applicable.</x:v>
      </x:c>
      <x:c r="E374" s="12" t="str">
        <x:v>Calculated outputs, units, lineage and approvals match the controlled formula/rule; invalid inputs and unauthorized overrides are blocked.</x:v>
      </x:c>
      <x:c r="F374" s="12" t="str">
        <x:v>Planned</x:v>
      </x:c>
    </x:row>
    <x:row r="375">
      <x:c r="A375" s="12" t="str">
        <x:v>P26-TST-374</x:v>
      </x:c>
      <x:c r="B375" s="12" t="str">
        <x:v>P26-REQ-374</x:v>
      </x:c>
      <x:c r="C375" s="12" t="str">
        <x:v>Contingency</x:v>
      </x:c>
      <x:c r="D375" s="12" t="str">
        <x:v>Validate P26-REQ-374 using deterministic normal, boundary, invalid-unit, override, changed-library, and permission scenarios as applicable.</x:v>
      </x:c>
      <x:c r="E375" s="12" t="str">
        <x:v>Calculated outputs, units, lineage and approvals match the controlled formula/rule; invalid inputs and unauthorized overrides are blocked.</x:v>
      </x:c>
      <x:c r="F375" s="12" t="str">
        <x:v>Planned</x:v>
      </x:c>
    </x:row>
    <x:row r="376">
      <x:c r="A376" s="12" t="str">
        <x:v>P26-TST-375</x:v>
      </x:c>
      <x:c r="B376" s="12" t="str">
        <x:v>P26-REQ-375</x:v>
      </x:c>
      <x:c r="C376" s="12" t="str">
        <x:v>Markup</x:v>
      </x:c>
      <x:c r="D376" s="12" t="str">
        <x:v>Validate P26-REQ-375 using deterministic normal, boundary, invalid-unit, override, changed-library, and permission scenarios as applicable.</x:v>
      </x:c>
      <x:c r="E376" s="12" t="str">
        <x:v>Calculated outputs, units, lineage and approvals match the controlled formula/rule; invalid inputs and unauthorized overrides are blocked.</x:v>
      </x:c>
      <x:c r="F376" s="12" t="str">
        <x:v>Planned</x:v>
      </x:c>
    </x:row>
    <x:row r="377">
      <x:c r="A377" s="12" t="str">
        <x:v>P26-TST-376</x:v>
      </x:c>
      <x:c r="B377" s="12" t="str">
        <x:v>P26-REQ-376</x:v>
      </x:c>
      <x:c r="C377" s="12" t="str">
        <x:v>Overhead &amp; Profit</x:v>
      </x:c>
      <x:c r="D377" s="12" t="str">
        <x:v>Validate P26-REQ-376 using deterministic normal, boundary, invalid-unit, override, changed-library, and permission scenarios as applicable.</x:v>
      </x:c>
      <x:c r="E377" s="12" t="str">
        <x:v>Calculated outputs, units, lineage and approvals match the controlled formula/rule; invalid inputs and unauthorized overrides are blocked.</x:v>
      </x:c>
      <x:c r="F377" s="12" t="str">
        <x:v>Planned</x:v>
      </x:c>
    </x:row>
    <x:row r="378">
      <x:c r="A378" s="12" t="str">
        <x:v>P26-TST-377</x:v>
      </x:c>
      <x:c r="B378" s="12" t="str">
        <x:v>P26-REQ-377</x:v>
      </x:c>
      <x:c r="C378" s="12" t="str">
        <x:v>Tax &amp; Bond</x:v>
      </x:c>
      <x:c r="D378" s="12" t="str">
        <x:v>Validate P26-REQ-377 using deterministic normal, boundary, invalid-unit, override, changed-library, and permission scenarios as applicable.</x:v>
      </x:c>
      <x:c r="E378" s="12" t="str">
        <x:v>Calculated outputs, units, lineage and approvals match the controlled formula/rule; invalid inputs and unauthorized overrides are blocked.</x:v>
      </x:c>
      <x:c r="F378" s="12" t="str">
        <x:v>Planned</x:v>
      </x:c>
    </x:row>
    <x:row r="379">
      <x:c r="A379" s="12" t="str">
        <x:v>P26-TST-378</x:v>
      </x:c>
      <x:c r="B379" s="12" t="str">
        <x:v>P26-REQ-378</x:v>
      </x:c>
      <x:c r="C379" s="12" t="str">
        <x:v>Unit Price</x:v>
      </x:c>
      <x:c r="D379" s="12" t="str">
        <x:v>Validate P26-REQ-378 using deterministic normal, boundary, invalid-unit, override, changed-library, and permission scenarios as applicable.</x:v>
      </x:c>
      <x:c r="E379" s="12" t="str">
        <x:v>Calculated outputs, units, lineage and approvals match the controlled formula/rule; invalid inputs and unauthorized overrides are blocked.</x:v>
      </x:c>
      <x:c r="F379" s="12" t="str">
        <x:v>Planned</x:v>
      </x:c>
    </x:row>
    <x:row r="380">
      <x:c r="A380" s="12" t="str">
        <x:v>P26-TST-379</x:v>
      </x:c>
      <x:c r="B380" s="12" t="str">
        <x:v>P26-REQ-379</x:v>
      </x:c>
      <x:c r="C380" s="12" t="str">
        <x:v>Bid Price</x:v>
      </x:c>
      <x:c r="D380" s="12" t="str">
        <x:v>Validate P26-REQ-379 using deterministic normal, boundary, invalid-unit, override, changed-library, and permission scenarios as applicable.</x:v>
      </x:c>
      <x:c r="E380" s="12" t="str">
        <x:v>Calculated outputs, units, lineage and approvals match the controlled formula/rule; invalid inputs and unauthorized overrides are blocked.</x:v>
      </x:c>
      <x:c r="F380" s="12" t="str">
        <x:v>Planned</x:v>
      </x:c>
    </x:row>
    <x:row r="381">
      <x:c r="A381" s="12" t="str">
        <x:v>P26-TST-380</x:v>
      </x:c>
      <x:c r="B381" s="12" t="str">
        <x:v>P26-REQ-380</x:v>
      </x:c>
      <x:c r="C381" s="12" t="str">
        <x:v>Low/High Range</x:v>
      </x:c>
      <x:c r="D381" s="12" t="str">
        <x:v>Validate P26-REQ-380 using deterministic normal, boundary, invalid-unit, override, changed-library, and permission scenarios as applicable.</x:v>
      </x:c>
      <x:c r="E381" s="12" t="str">
        <x:v>Calculated outputs, units, lineage and approvals match the controlled formula/rule; invalid inputs and unauthorized overrides are blocked.</x:v>
      </x:c>
      <x:c r="F381" s="12" t="str">
        <x:v>Planned</x:v>
      </x:c>
    </x:row>
    <x:row r="382">
      <x:c r="A382" s="12" t="str">
        <x:v>P26-TST-381</x:v>
      </x:c>
      <x:c r="B382" s="12" t="str">
        <x:v>P26-REQ-381</x:v>
      </x:c>
      <x:c r="C382" s="12" t="str">
        <x:v>Scenario Comparison</x:v>
      </x:c>
      <x:c r="D382" s="12" t="str">
        <x:v>Validate P26-REQ-381 using deterministic normal, boundary, invalid-unit, override, changed-library, and permission scenarios as applicable.</x:v>
      </x:c>
      <x:c r="E382" s="12" t="str">
        <x:v>Calculated outputs, units, lineage and approvals match the controlled formula/rule; invalid inputs and unauthorized overrides are blocked.</x:v>
      </x:c>
      <x:c r="F382" s="12" t="str">
        <x:v>Planned</x:v>
      </x:c>
    </x:row>
    <x:row r="383">
      <x:c r="A383" s="12" t="str">
        <x:v>P26-TST-382</x:v>
      </x:c>
      <x:c r="B383" s="12" t="str">
        <x:v>P26-REQ-382</x:v>
      </x:c>
      <x:c r="C383" s="12" t="str">
        <x:v>Estimate Confidence</x:v>
      </x:c>
      <x:c r="D383" s="12" t="str">
        <x:v>Validate P26-REQ-382 using deterministic normal, boundary, invalid-unit, override, changed-library, and permission scenarios as applicable.</x:v>
      </x:c>
      <x:c r="E383" s="12" t="str">
        <x:v>Calculated outputs, units, lineage and approvals match the controlled formula/rule; invalid inputs and unauthorized overrides are blocked.</x:v>
      </x:c>
      <x:c r="F383" s="12" t="str">
        <x:v>Planned</x:v>
      </x:c>
    </x:row>
    <x:row r="384">
      <x:c r="A384" s="12" t="str">
        <x:v>P26-TST-383</x:v>
      </x:c>
      <x:c r="B384" s="12" t="str">
        <x:v>P26-REQ-383</x:v>
      </x:c>
      <x:c r="C384" s="12" t="str">
        <x:v>Regional Pricing</x:v>
      </x:c>
      <x:c r="D384" s="12" t="str">
        <x:v>Validate P26-REQ-383 using deterministic normal, boundary, invalid-unit, override, changed-library, and permission scenarios as applicable.</x:v>
      </x:c>
      <x:c r="E384" s="12" t="str">
        <x:v>Calculated outputs, units, lineage and approvals match the controlled formula/rule; invalid inputs and unauthorized overrides are blocked.</x:v>
      </x:c>
      <x:c r="F384" s="12" t="str">
        <x:v>Planned</x:v>
      </x:c>
    </x:row>
    <x:row r="385">
      <x:c r="A385" s="12" t="str">
        <x:v>P26-TST-384</x:v>
      </x:c>
      <x:c r="B385" s="12" t="str">
        <x:v>P26-REQ-384</x:v>
      </x:c>
      <x:c r="C385" s="12" t="str">
        <x:v>Vendor Quote Override</x:v>
      </x:c>
      <x:c r="D385" s="12" t="str">
        <x:v>Validate P26-REQ-384 using deterministic normal, boundary, invalid-unit, override, changed-library, and permission scenarios as applicable.</x:v>
      </x:c>
      <x:c r="E385" s="12" t="str">
        <x:v>Calculated outputs, units, lineage and approvals match the controlled formula/rule; invalid inputs and unauthorized overrides are blocked.</x:v>
      </x:c>
      <x:c r="F385" s="12" t="str">
        <x:v>Planned</x:v>
      </x:c>
    </x:row>
    <x:row r="386">
      <x:c r="A386" s="12" t="str">
        <x:v>P26-TST-385</x:v>
      </x:c>
      <x:c r="B386" s="12" t="str">
        <x:v>P26-REQ-385</x:v>
      </x:c>
      <x:c r="C386" s="12" t="str">
        <x:v>Snapshot Reproducibility</x:v>
      </x:c>
      <x:c r="D386" s="12" t="str">
        <x:v>Validate P26-REQ-385 using deterministic normal, boundary, invalid-unit, override, changed-library, and permission scenarios as applicable.</x:v>
      </x:c>
      <x:c r="E386" s="12" t="str">
        <x:v>Calculated outputs, units, lineage and approvals match the controlled formula/rule; invalid inputs and unauthorized overrides are blocked.</x:v>
      </x:c>
      <x:c r="F386" s="12" t="str">
        <x:v>Planned</x:v>
      </x:c>
    </x:row>
    <x:row r="387">
      <x:c r="A387" s="12" t="str">
        <x:v>P26-TST-386</x:v>
      </x:c>
      <x:c r="B387" s="12" t="str">
        <x:v>P26-REQ-386</x:v>
      </x:c>
      <x:c r="C387" s="12" t="str">
        <x:v>Service Catalog Writeback</x:v>
      </x:c>
      <x:c r="D387" s="12" t="str">
        <x:v>Validate P26-REQ-386 using deterministic normal, boundary, invalid-unit, override, changed-library, and permission scenarios as applicable.</x:v>
      </x:c>
      <x:c r="E387" s="12" t="str">
        <x:v>Calculated outputs, units, lineage and approvals match the controlled formula/rule; invalid inputs and unauthorized overrides are blocked.</x:v>
      </x:c>
      <x:c r="F387" s="12" t="str">
        <x:v>Planned</x:v>
      </x:c>
    </x:row>
    <x:row r="388">
      <x:c r="A388" s="12" t="str">
        <x:v>P26-TST-387</x:v>
      </x:c>
      <x:c r="B388" s="12" t="str">
        <x:v>P26-REQ-387</x:v>
      </x:c>
      <x:c r="C388" s="12" t="str">
        <x:v>AI Estimate Assist</x:v>
      </x:c>
      <x:c r="D388" s="12" t="str">
        <x:v>Validate P26-REQ-387 using deterministic normal, boundary, invalid-unit, override, changed-library, and permission scenarios as applicable.</x:v>
      </x:c>
      <x:c r="E388" s="12" t="str">
        <x:v>Calculated outputs, units, lineage and approvals match the controlled formula/rule; invalid inputs and unauthorized overrides are blocked.</x:v>
      </x:c>
      <x:c r="F388" s="12" t="str">
        <x:v>Planned</x:v>
      </x:c>
    </x:row>
    <x:row r="389">
      <x:c r="A389" s="12" t="str">
        <x:v>P26-TST-388</x:v>
      </x:c>
      <x:c r="B389" s="12" t="str">
        <x:v>P26-REQ-388</x:v>
      </x:c>
      <x:c r="C389" s="12" t="str">
        <x:v>Estimate Review &amp; Approval</x:v>
      </x:c>
      <x:c r="D389" s="12" t="str">
        <x:v>Validate P26-REQ-388 using deterministic normal, boundary, invalid-unit, override, changed-library, and permission scenarios as applicable.</x:v>
      </x:c>
      <x:c r="E389" s="12" t="str">
        <x:v>Calculated outputs, units, lineage and approvals match the controlled formula/rule; invalid inputs and unauthorized overrides are blocked.</x:v>
      </x:c>
      <x:c r="F389" s="12" t="str">
        <x:v>Planned</x:v>
      </x:c>
    </x:row>
    <x:row r="390">
      <x:c r="A390" s="12" t="str">
        <x:v>P26-TST-389</x:v>
      </x:c>
      <x:c r="B390" s="12" t="str">
        <x:v>P26-REQ-389</x:v>
      </x:c>
      <x:c r="C390" s="12" t="str">
        <x:v>Estimate Export</x:v>
      </x:c>
      <x:c r="D390" s="12" t="str">
        <x:v>Validate P26-REQ-389 using deterministic normal, boundary, invalid-unit, override, changed-library, and permission scenarios as applicable.</x:v>
      </x:c>
      <x:c r="E390" s="12" t="str">
        <x:v>Calculated outputs, units, lineage and approvals match the controlled formula/rule; invalid inputs and unauthorized overrides are blocked.</x:v>
      </x:c>
      <x:c r="F390" s="12" t="str">
        <x:v>Planned</x:v>
      </x:c>
    </x:row>
    <x:row r="391">
      <x:c r="A391" s="12" t="str">
        <x:v>P26-TST-390</x:v>
      </x:c>
      <x:c r="B391" s="12" t="str">
        <x:v>P26-REQ-390</x:v>
      </x:c>
      <x:c r="C391" s="12" t="str">
        <x:v>Proposal Handoff</x:v>
      </x:c>
      <x:c r="D391" s="12" t="str">
        <x:v>Validate P26-REQ-390 using deterministic normal, boundary, invalid-unit, override, changed-library, and permission scenarios as applicable.</x:v>
      </x:c>
      <x:c r="E391" s="12" t="str">
        <x:v>Calculated outputs, units, lineage and approvals match the controlled formula/rule; invalid inputs and unauthorized overrides are blocked.</x:v>
      </x:c>
      <x:c r="F391" s="12" t="str">
        <x:v>Planned</x:v>
      </x:c>
    </x:row>
    <x:row r="392">
      <x:c r="A392" s="12" t="str">
        <x:v>P26-TST-391</x:v>
      </x:c>
      <x:c r="B392" s="12" t="str">
        <x:v>P26-REQ-391</x:v>
      </x:c>
      <x:c r="C392" s="12" t="str">
        <x:v>Job Cost Baseline</x:v>
      </x:c>
      <x:c r="D392" s="12" t="str">
        <x:v>Validate P26-REQ-391 using deterministic normal, boundary, invalid-unit, override, changed-library, and permission scenarios as applicable.</x:v>
      </x:c>
      <x:c r="E392" s="12" t="str">
        <x:v>Calculated outputs, units, lineage and approvals match the controlled formula/rule; invalid inputs and unauthorized overrides are blocked.</x:v>
      </x:c>
      <x:c r="F392" s="12" t="str">
        <x:v>Planned</x:v>
      </x:c>
    </x:row>
    <x:row r="393">
      <x:c r="A393" s="12" t="str">
        <x:v>P26-TST-392</x:v>
      </x:c>
      <x:c r="B393" s="12" t="str">
        <x:v>P26-REQ-392</x:v>
      </x:c>
      <x:c r="C393" s="12" t="str">
        <x:v>Audit &amp; Traceability</x:v>
      </x:c>
      <x:c r="D393" s="12" t="str">
        <x:v>Validate P26-REQ-392 using deterministic normal, boundary, invalid-unit, override, changed-library, and permission scenarios as applicable.</x:v>
      </x:c>
      <x:c r="E393" s="12" t="str">
        <x:v>Calculated outputs, units, lineage and approvals match the controlled formula/rule; invalid inputs and unauthorized overrides are blocked.</x:v>
      </x:c>
      <x:c r="F393" s="12" t="str">
        <x:v>Planned</x:v>
      </x:c>
    </x:row>
    <x:row r="394">
      <x:c r="A394" s="12" t="str">
        <x:v>P26-TST-393</x:v>
      </x:c>
      <x:c r="B394" s="12" t="str">
        <x:v>P26-REQ-393</x:v>
      </x:c>
      <x:c r="C394" s="12" t="str">
        <x:v>Estimate Lifecycle</x:v>
      </x:c>
      <x:c r="D394" s="12" t="str">
        <x:v>Validate P26-REQ-393 using deterministic normal, boundary, invalid-unit, override, changed-library, and permission scenarios as applicable.</x:v>
      </x:c>
      <x:c r="E394" s="12" t="str">
        <x:v>Calculated outputs, units, lineage and approvals match the controlled formula/rule; invalid inputs and unauthorized overrides are blocked.</x:v>
      </x:c>
      <x:c r="F394" s="12" t="str">
        <x:v>Planned</x:v>
      </x:c>
    </x:row>
    <x:row r="395">
      <x:c r="A395" s="12" t="str">
        <x:v>P26-TST-394</x:v>
      </x:c>
      <x:c r="B395" s="12" t="str">
        <x:v>P26-REQ-394</x:v>
      </x:c>
      <x:c r="C395" s="12" t="str">
        <x:v>Estimate Versions</x:v>
      </x:c>
      <x:c r="D395" s="12" t="str">
        <x:v>Validate P26-REQ-394 using deterministic normal, boundary, invalid-unit, override, changed-library, and permission scenarios as applicable.</x:v>
      </x:c>
      <x:c r="E395" s="12" t="str">
        <x:v>Calculated outputs, units, lineage and approvals match the controlled formula/rule; invalid inputs and unauthorized overrides are blocked.</x:v>
      </x:c>
      <x:c r="F395" s="12" t="str">
        <x:v>Planned</x:v>
      </x:c>
    </x:row>
    <x:row r="396">
      <x:c r="A396" s="12" t="str">
        <x:v>P26-TST-395</x:v>
      </x:c>
      <x:c r="B396" s="12" t="str">
        <x:v>P26-REQ-395</x:v>
      </x:c>
      <x:c r="C396" s="12" t="str">
        <x:v>Estimate Templates</x:v>
      </x:c>
      <x:c r="D396" s="12" t="str">
        <x:v>Validate P26-REQ-395 using deterministic normal, boundary, invalid-unit, override, changed-library, and permission scenarios as applicable.</x:v>
      </x:c>
      <x:c r="E396" s="12" t="str">
        <x:v>Calculated outputs, units, lineage and approvals match the controlled formula/rule; invalid inputs and unauthorized overrides are blocked.</x:v>
      </x:c>
      <x:c r="F396" s="12" t="str">
        <x:v>Planned</x:v>
      </x:c>
    </x:row>
    <x:row r="397">
      <x:c r="A397" s="12" t="str">
        <x:v>P26-TST-396</x:v>
      </x:c>
      <x:c r="B397" s="12" t="str">
        <x:v>P26-REQ-396</x:v>
      </x:c>
      <x:c r="C397" s="12" t="str">
        <x:v>Service Selection</x:v>
      </x:c>
      <x:c r="D397" s="12" t="str">
        <x:v>Validate P26-REQ-396 using deterministic normal, boundary, invalid-unit, override, changed-library, and permission scenarios as applicable.</x:v>
      </x:c>
      <x:c r="E397" s="12" t="str">
        <x:v>Calculated outputs, units, lineage and approvals match the controlled formula/rule; invalid inputs and unauthorized overrides are blocked.</x:v>
      </x:c>
      <x:c r="F397" s="12" t="str">
        <x:v>Planned</x:v>
      </x:c>
    </x:row>
    <x:row r="398">
      <x:c r="A398" s="12" t="str">
        <x:v>P26-TST-397</x:v>
      </x:c>
      <x:c r="B398" s="12" t="str">
        <x:v>P26-REQ-397</x:v>
      </x:c>
      <x:c r="C398" s="12" t="str">
        <x:v>Assembly Expansion</x:v>
      </x:c>
      <x:c r="D398" s="12" t="str">
        <x:v>Validate P26-REQ-397 using deterministic normal, boundary, invalid-unit, override, changed-library, and permission scenarios as applicable.</x:v>
      </x:c>
      <x:c r="E398" s="12" t="str">
        <x:v>Calculated outputs, units, lineage and approvals match the controlled formula/rule; invalid inputs and unauthorized overrides are blocked.</x:v>
      </x:c>
      <x:c r="F398" s="12" t="str">
        <x:v>Planned</x:v>
      </x:c>
    </x:row>
    <x:row r="399">
      <x:c r="A399" s="12" t="str">
        <x:v>P26-TST-398</x:v>
      </x:c>
      <x:c r="B399" s="12" t="str">
        <x:v>P26-REQ-398</x:v>
      </x:c>
      <x:c r="C399" s="12" t="str">
        <x:v>Quantity Input</x:v>
      </x:c>
      <x:c r="D399" s="12" t="str">
        <x:v>Validate P26-REQ-398 using deterministic normal, boundary, invalid-unit, override, changed-library, and permission scenarios as applicable.</x:v>
      </x:c>
      <x:c r="E399" s="12" t="str">
        <x:v>Calculated outputs, units, lineage and approvals match the controlled formula/rule; invalid inputs and unauthorized overrides are blocked.</x:v>
      </x:c>
      <x:c r="F399" s="12" t="str">
        <x:v>Planned</x:v>
      </x:c>
    </x:row>
    <x:row r="400">
      <x:c r="A400" s="12" t="str">
        <x:v>P26-TST-399</x:v>
      </x:c>
      <x:c r="B400" s="12" t="str">
        <x:v>P26-REQ-399</x:v>
      </x:c>
      <x:c r="C400" s="12" t="str">
        <x:v>Quantity Takeoff Intake</x:v>
      </x:c>
      <x:c r="D400" s="12" t="str">
        <x:v>Validate P26-REQ-399 using deterministic normal, boundary, invalid-unit, override, changed-library, and permission scenarios as applicable.</x:v>
      </x:c>
      <x:c r="E400" s="12" t="str">
        <x:v>Calculated outputs, units, lineage and approvals match the controlled formula/rule; invalid inputs and unauthorized overrides are blocked.</x:v>
      </x:c>
      <x:c r="F400" s="12" t="str">
        <x:v>Planned</x:v>
      </x:c>
    </x:row>
    <x:row r="401">
      <x:c r="A401" s="12" t="str">
        <x:v>P26-TST-400</x:v>
      </x:c>
      <x:c r="B401" s="12" t="str">
        <x:v>P26-REQ-400</x:v>
      </x:c>
      <x:c r="C401" s="12" t="str">
        <x:v>Labor Cost</x:v>
      </x:c>
      <x:c r="D401" s="12" t="str">
        <x:v>Validate P26-REQ-400 using deterministic normal, boundary, invalid-unit, override, changed-library, and permission scenarios as applicable.</x:v>
      </x:c>
      <x:c r="E401" s="12" t="str">
        <x:v>Calculated outputs, units, lineage and approvals match the controlled formula/rule; invalid inputs and unauthorized overrides are blocked.</x:v>
      </x:c>
      <x:c r="F401" s="12" t="str">
        <x:v>Planned</x:v>
      </x:c>
    </x:row>
    <x:row r="402">
      <x:c r="A402" s="12" t="str">
        <x:v>P26-TST-401</x:v>
      </x:c>
      <x:c r="B402" s="12" t="str">
        <x:v>P26-REQ-401</x:v>
      </x:c>
      <x:c r="C402" s="12" t="str">
        <x:v>Labor Burden</x:v>
      </x:c>
      <x:c r="D402" s="12" t="str">
        <x:v>Validate P26-REQ-401 using deterministic normal, boundary, invalid-unit, override, changed-library, and permission scenarios as applicable.</x:v>
      </x:c>
      <x:c r="E402" s="12" t="str">
        <x:v>Calculated outputs, units, lineage and approvals match the controlled formula/rule; invalid inputs and unauthorized overrides are blocked.</x:v>
      </x:c>
      <x:c r="F402" s="12" t="str">
        <x:v>Planned</x:v>
      </x:c>
    </x:row>
    <x:row r="403">
      <x:c r="A403" s="12" t="str">
        <x:v>P26-TST-402</x:v>
      </x:c>
      <x:c r="B403" s="12" t="str">
        <x:v>P26-REQ-402</x:v>
      </x:c>
      <x:c r="C403" s="12" t="str">
        <x:v>Crew Composition</x:v>
      </x:c>
      <x:c r="D403" s="12" t="str">
        <x:v>Validate P26-REQ-402 using deterministic normal, boundary, invalid-unit, override, changed-library, and permission scenarios as applicable.</x:v>
      </x:c>
      <x:c r="E403" s="12" t="str">
        <x:v>Calculated outputs, units, lineage and approvals match the controlled formula/rule; invalid inputs and unauthorized overrides are blocked.</x:v>
      </x:c>
      <x:c r="F403" s="12" t="str">
        <x:v>Planned</x:v>
      </x:c>
    </x:row>
    <x:row r="404">
      <x:c r="A404" s="12" t="str">
        <x:v>P26-TST-403</x:v>
      </x:c>
      <x:c r="B404" s="12" t="str">
        <x:v>P26-REQ-403</x:v>
      </x:c>
      <x:c r="C404" s="12" t="str">
        <x:v>Crew Size Recommendation</x:v>
      </x:c>
      <x:c r="D404" s="12" t="str">
        <x:v>Validate P26-REQ-403 using deterministic normal, boundary, invalid-unit, override, changed-library, and permission scenarios as applicable.</x:v>
      </x:c>
      <x:c r="E404" s="12" t="str">
        <x:v>Calculated outputs, units, lineage and approvals match the controlled formula/rule; invalid inputs and unauthorized overrides are blocked.</x:v>
      </x:c>
      <x:c r="F404" s="12" t="str">
        <x:v>Planned</x:v>
      </x:c>
    </x:row>
    <x:row r="405">
      <x:c r="A405" s="12" t="str">
        <x:v>P26-TST-404</x:v>
      </x:c>
      <x:c r="B405" s="12" t="str">
        <x:v>P26-REQ-404</x:v>
      </x:c>
      <x:c r="C405" s="12" t="str">
        <x:v>Equipment Selection</x:v>
      </x:c>
      <x:c r="D405" s="12" t="str">
        <x:v>Validate P26-REQ-404 using deterministic normal, boundary, invalid-unit, override, changed-library, and permission scenarios as applicable.</x:v>
      </x:c>
      <x:c r="E405" s="12" t="str">
        <x:v>Calculated outputs, units, lineage and approvals match the controlled formula/rule; invalid inputs and unauthorized overrides are blocked.</x:v>
      </x:c>
      <x:c r="F405" s="12" t="str">
        <x:v>Planned</x:v>
      </x:c>
    </x:row>
    <x:row r="406">
      <x:c r="A406" s="12" t="str">
        <x:v>P26-TST-405</x:v>
      </x:c>
      <x:c r="B406" s="12" t="str">
        <x:v>P26-REQ-405</x:v>
      </x:c>
      <x:c r="C406" s="12" t="str">
        <x:v>Equipment Cost</x:v>
      </x:c>
      <x:c r="D406" s="12" t="str">
        <x:v>Validate P26-REQ-405 using deterministic normal, boundary, invalid-unit, override, changed-library, and permission scenarios as applicable.</x:v>
      </x:c>
      <x:c r="E406" s="12" t="str">
        <x:v>Calculated outputs, units, lineage and approvals match the controlled formula/rule; invalid inputs and unauthorized overrides are blocked.</x:v>
      </x:c>
      <x:c r="F406" s="12" t="str">
        <x:v>Planned</x:v>
      </x:c>
    </x:row>
    <x:row r="407">
      <x:c r="A407" s="12" t="str">
        <x:v>P26-TST-406</x:v>
      </x:c>
      <x:c r="B407" s="12" t="str">
        <x:v>P26-REQ-406</x:v>
      </x:c>
      <x:c r="C407" s="12" t="str">
        <x:v>Equipment Rate Selection</x:v>
      </x:c>
      <x:c r="D407" s="12" t="str">
        <x:v>Validate P26-REQ-406 using deterministic normal, boundary, invalid-unit, override, changed-library, and permission scenarios as applicable.</x:v>
      </x:c>
      <x:c r="E407" s="12" t="str">
        <x:v>Calculated outputs, units, lineage and approvals match the controlled formula/rule; invalid inputs and unauthorized overrides are blocked.</x:v>
      </x:c>
      <x:c r="F407" s="12" t="str">
        <x:v>Planned</x:v>
      </x:c>
    </x:row>
    <x:row r="408">
      <x:c r="A408" s="12" t="str">
        <x:v>P26-TST-407</x:v>
      </x:c>
      <x:c r="B408" s="12" t="str">
        <x:v>P26-REQ-407</x:v>
      </x:c>
      <x:c r="C408" s="12" t="str">
        <x:v>Fuel Consumption</x:v>
      </x:c>
      <x:c r="D408" s="12" t="str">
        <x:v>Validate P26-REQ-407 using deterministic normal, boundary, invalid-unit, override, changed-library, and permission scenarios as applicable.</x:v>
      </x:c>
      <x:c r="E408" s="12" t="str">
        <x:v>Calculated outputs, units, lineage and approvals match the controlled formula/rule; invalid inputs and unauthorized overrides are blocked.</x:v>
      </x:c>
      <x:c r="F408" s="12" t="str">
        <x:v>Planned</x:v>
      </x:c>
    </x:row>
    <x:row r="409">
      <x:c r="A409" s="12" t="str">
        <x:v>P26-TST-408</x:v>
      </x:c>
      <x:c r="B409" s="12" t="str">
        <x:v>P26-REQ-408</x:v>
      </x:c>
      <x:c r="C409" s="12" t="str">
        <x:v>Truck Selection</x:v>
      </x:c>
      <x:c r="D409" s="12" t="str">
        <x:v>Validate P26-REQ-408 using deterministic normal, boundary, invalid-unit, override, changed-library, and permission scenarios as applicable.</x:v>
      </x:c>
      <x:c r="E409" s="12" t="str">
        <x:v>Calculated outputs, units, lineage and approvals match the controlled formula/rule; invalid inputs and unauthorized overrides are blocked.</x:v>
      </x:c>
      <x:c r="F409" s="12" t="str">
        <x:v>Planned</x:v>
      </x:c>
    </x:row>
    <x:row r="410">
      <x:c r="A410" s="12" t="str">
        <x:v>P26-TST-409</x:v>
      </x:c>
      <x:c r="B410" s="12" t="str">
        <x:v>P26-REQ-409</x:v>
      </x:c>
      <x:c r="C410" s="12" t="str">
        <x:v>Truck Cycle Calculation</x:v>
      </x:c>
      <x:c r="D410" s="12" t="str">
        <x:v>Validate P26-REQ-409 using deterministic normal, boundary, invalid-unit, override, changed-library, and permission scenarios as applicable.</x:v>
      </x:c>
      <x:c r="E410" s="12" t="str">
        <x:v>Calculated outputs, units, lineage and approvals match the controlled formula/rule; invalid inputs and unauthorized overrides are blocked.</x:v>
      </x:c>
      <x:c r="F410" s="12" t="str">
        <x:v>Planned</x:v>
      </x:c>
    </x:row>
    <x:row r="411">
      <x:c r="A411" s="12" t="str">
        <x:v>P26-TST-410</x:v>
      </x:c>
      <x:c r="B411" s="12" t="str">
        <x:v>P26-REQ-410</x:v>
      </x:c>
      <x:c r="C411" s="12" t="str">
        <x:v>Truck Count</x:v>
      </x:c>
      <x:c r="D411" s="12" t="str">
        <x:v>Validate P26-REQ-410 using deterministic normal, boundary, invalid-unit, override, changed-library, and permission scenarios as applicable.</x:v>
      </x:c>
      <x:c r="E411" s="12" t="str">
        <x:v>Calculated outputs, units, lineage and approvals match the controlled formula/rule; invalid inputs and unauthorized overrides are blocked.</x:v>
      </x:c>
      <x:c r="F411" s="12" t="str">
        <x:v>Planned</x:v>
      </x:c>
    </x:row>
    <x:row r="412">
      <x:c r="A412" s="12" t="str">
        <x:v>P26-TST-411</x:v>
      </x:c>
      <x:c r="B412" s="12" t="str">
        <x:v>P26-REQ-411</x:v>
      </x:c>
      <x:c r="C412" s="12" t="str">
        <x:v>Haul Distance</x:v>
      </x:c>
      <x:c r="D412" s="12" t="str">
        <x:v>Validate P26-REQ-411 using deterministic normal, boundary, invalid-unit, override, changed-library, and permission scenarios as applicable.</x:v>
      </x:c>
      <x:c r="E412" s="12" t="str">
        <x:v>Calculated outputs, units, lineage and approvals match the controlled formula/rule; invalid inputs and unauthorized overrides are blocked.</x:v>
      </x:c>
      <x:c r="F412" s="12" t="str">
        <x:v>Planned</x:v>
      </x:c>
    </x:row>
    <x:row r="413">
      <x:c r="A413" s="12" t="str">
        <x:v>P26-TST-412</x:v>
      </x:c>
      <x:c r="B413" s="12" t="str">
        <x:v>P26-REQ-412</x:v>
      </x:c>
      <x:c r="C413" s="12" t="str">
        <x:v>Disposal Cost</x:v>
      </x:c>
      <x:c r="D413" s="12" t="str">
        <x:v>Validate P26-REQ-412 using deterministic normal, boundary, invalid-unit, override, changed-library, and permission scenarios as applicable.</x:v>
      </x:c>
      <x:c r="E413" s="12" t="str">
        <x:v>Calculated outputs, units, lineage and approvals match the controlled formula/rule; invalid inputs and unauthorized overrides are blocked.</x:v>
      </x:c>
      <x:c r="F413" s="12" t="str">
        <x:v>Planned</x:v>
      </x:c>
    </x:row>
    <x:row r="414">
      <x:c r="A414" s="12" t="str">
        <x:v>P26-TST-413</x:v>
      </x:c>
      <x:c r="B414" s="12" t="str">
        <x:v>P26-REQ-413</x:v>
      </x:c>
      <x:c r="C414" s="12" t="str">
        <x:v>Material Cost</x:v>
      </x:c>
      <x:c r="D414" s="12" t="str">
        <x:v>Validate P26-REQ-413 using deterministic normal, boundary, invalid-unit, override, changed-library, and permission scenarios as applicable.</x:v>
      </x:c>
      <x:c r="E414" s="12" t="str">
        <x:v>Calculated outputs, units, lineage and approvals match the controlled formula/rule; invalid inputs and unauthorized overrides are blocked.</x:v>
      </x:c>
      <x:c r="F414" s="12" t="str">
        <x:v>Planned</x:v>
      </x:c>
    </x:row>
    <x:row r="415">
      <x:c r="A415" s="12" t="str">
        <x:v>P26-TST-414</x:v>
      </x:c>
      <x:c r="B415" s="12" t="str">
        <x:v>P26-REQ-414</x:v>
      </x:c>
      <x:c r="C415" s="12" t="str">
        <x:v>Material Waste</x:v>
      </x:c>
      <x:c r="D415" s="12" t="str">
        <x:v>Validate P26-REQ-414 using deterministic normal, boundary, invalid-unit, override, changed-library, and permission scenarios as applicable.</x:v>
      </x:c>
      <x:c r="E415" s="12" t="str">
        <x:v>Calculated outputs, units, lineage and approvals match the controlled formula/rule; invalid inputs and unauthorized overrides are blocked.</x:v>
      </x:c>
      <x:c r="F415" s="12" t="str">
        <x:v>Planned</x:v>
      </x:c>
    </x:row>
    <x:row r="416">
      <x:c r="A416" s="12" t="str">
        <x:v>P26-TST-415</x:v>
      </x:c>
      <x:c r="B416" s="12" t="str">
        <x:v>P26-REQ-415</x:v>
      </x:c>
      <x:c r="C416" s="12" t="str">
        <x:v>Subcontract Cost</x:v>
      </x:c>
      <x:c r="D416" s="12" t="str">
        <x:v>Validate P26-REQ-415 using deterministic normal, boundary, invalid-unit, override, changed-library, and permission scenarios as applicable.</x:v>
      </x:c>
      <x:c r="E416" s="12" t="str">
        <x:v>Calculated outputs, units, lineage and approvals match the controlled formula/rule; invalid inputs and unauthorized overrides are blocked.</x:v>
      </x:c>
      <x:c r="F416" s="12" t="str">
        <x:v>Planned</x:v>
      </x:c>
    </x:row>
    <x:row r="417">
      <x:c r="A417" s="12" t="str">
        <x:v>P26-TST-416</x:v>
      </x:c>
      <x:c r="B417" s="12" t="str">
        <x:v>P26-REQ-416</x:v>
      </x:c>
      <x:c r="C417" s="12" t="str">
        <x:v>Production Rate</x:v>
      </x:c>
      <x:c r="D417" s="12" t="str">
        <x:v>Validate P26-REQ-416 using deterministic normal, boundary, invalid-unit, override, changed-library, and permission scenarios as applicable.</x:v>
      </x:c>
      <x:c r="E417" s="12" t="str">
        <x:v>Calculated outputs, units, lineage and approvals match the controlled formula/rule; invalid inputs and unauthorized overrides are blocked.</x:v>
      </x:c>
      <x:c r="F417" s="12" t="str">
        <x:v>Planned</x:v>
      </x:c>
    </x:row>
    <x:row r="418">
      <x:c r="A418" s="12" t="str">
        <x:v>P26-TST-417</x:v>
      </x:c>
      <x:c r="B418" s="12" t="str">
        <x:v>P26-REQ-417</x:v>
      </x:c>
      <x:c r="C418" s="12" t="str">
        <x:v>Production Modifiers</x:v>
      </x:c>
      <x:c r="D418" s="12" t="str">
        <x:v>Validate P26-REQ-417 using deterministic normal, boundary, invalid-unit, override, changed-library, and permission scenarios as applicable.</x:v>
      </x:c>
      <x:c r="E418" s="12" t="str">
        <x:v>Calculated outputs, units, lineage and approvals match the controlled formula/rule; invalid inputs and unauthorized overrides are blocked.</x:v>
      </x:c>
      <x:c r="F418" s="12" t="str">
        <x:v>Planned</x:v>
      </x:c>
    </x:row>
    <x:row r="419">
      <x:c r="A419" s="12" t="str">
        <x:v>P26-TST-418</x:v>
      </x:c>
      <x:c r="B419" s="12" t="str">
        <x:v>P26-REQ-418</x:v>
      </x:c>
      <x:c r="C419" s="12" t="str">
        <x:v>Duration Calculation</x:v>
      </x:c>
      <x:c r="D419" s="12" t="str">
        <x:v>Validate P26-REQ-418 using deterministic normal, boundary, invalid-unit, override, changed-library, and permission scenarios as applicable.</x:v>
      </x:c>
      <x:c r="E419" s="12" t="str">
        <x:v>Calculated outputs, units, lineage and approvals match the controlled formula/rule; invalid inputs and unauthorized overrides are blocked.</x:v>
      </x:c>
      <x:c r="F419" s="12" t="str">
        <x:v>Planned</x:v>
      </x:c>
    </x:row>
    <x:row r="420">
      <x:c r="A420" s="12" t="str">
        <x:v>P26-TST-419</x:v>
      </x:c>
      <x:c r="B420" s="12" t="str">
        <x:v>P26-REQ-419</x:v>
      </x:c>
      <x:c r="C420" s="12" t="str">
        <x:v>Work Hours &amp; Shifts</x:v>
      </x:c>
      <x:c r="D420" s="12" t="str">
        <x:v>Validate P26-REQ-419 using deterministic normal, boundary, invalid-unit, override, changed-library, and permission scenarios as applicable.</x:v>
      </x:c>
      <x:c r="E420" s="12" t="str">
        <x:v>Calculated outputs, units, lineage and approvals match the controlled formula/rule; invalid inputs and unauthorized overrides are blocked.</x:v>
      </x:c>
      <x:c r="F420" s="12" t="str">
        <x:v>Planned</x:v>
      </x:c>
    </x:row>
    <x:row r="421">
      <x:c r="A421" s="12" t="str">
        <x:v>P26-TST-420</x:v>
      </x:c>
      <x:c r="B421" s="12" t="str">
        <x:v>P26-REQ-420</x:v>
      </x:c>
      <x:c r="C421" s="12" t="str">
        <x:v>Mobilization</x:v>
      </x:c>
      <x:c r="D421" s="12" t="str">
        <x:v>Validate P26-REQ-420 using deterministic normal, boundary, invalid-unit, override, changed-library, and permission scenarios as applicable.</x:v>
      </x:c>
      <x:c r="E421" s="12" t="str">
        <x:v>Calculated outputs, units, lineage and approvals match the controlled formula/rule; invalid inputs and unauthorized overrides are blocked.</x:v>
      </x:c>
      <x:c r="F421" s="12" t="str">
        <x:v>Planned</x:v>
      </x:c>
    </x:row>
    <x:row r="422">
      <x:c r="A422" s="12" t="str">
        <x:v>P26-TST-421</x:v>
      </x:c>
      <x:c r="B422" s="12" t="str">
        <x:v>P26-REQ-421</x:v>
      </x:c>
      <x:c r="C422" s="12" t="str">
        <x:v>Demobilization</x:v>
      </x:c>
      <x:c r="D422" s="12" t="str">
        <x:v>Validate P26-REQ-421 using deterministic normal, boundary, invalid-unit, override, changed-library, and permission scenarios as applicable.</x:v>
      </x:c>
      <x:c r="E422" s="12" t="str">
        <x:v>Calculated outputs, units, lineage and approvals match the controlled formula/rule; invalid inputs and unauthorized overrides are blocked.</x:v>
      </x:c>
      <x:c r="F422" s="12" t="str">
        <x:v>Planned</x:v>
      </x:c>
    </x:row>
    <x:row r="423">
      <x:c r="A423" s="12" t="str">
        <x:v>P26-TST-422</x:v>
      </x:c>
      <x:c r="B423" s="12" t="str">
        <x:v>P26-REQ-422</x:v>
      </x:c>
      <x:c r="C423" s="12" t="str">
        <x:v>Indirect Costs</x:v>
      </x:c>
      <x:c r="D423" s="12" t="str">
        <x:v>Validate P26-REQ-422 using deterministic normal, boundary, invalid-unit, override, changed-library, and permission scenarios as applicable.</x:v>
      </x:c>
      <x:c r="E423" s="12" t="str">
        <x:v>Calculated outputs, units, lineage and approvals match the controlled formula/rule; invalid inputs and unauthorized overrides are blocked.</x:v>
      </x:c>
      <x:c r="F423" s="12" t="str">
        <x:v>Planned</x:v>
      </x:c>
    </x:row>
    <x:row r="424">
      <x:c r="A424" s="12" t="str">
        <x:v>P26-TST-423</x:v>
      </x:c>
      <x:c r="B424" s="12" t="str">
        <x:v>P26-REQ-423</x:v>
      </x:c>
      <x:c r="C424" s="12" t="str">
        <x:v>Contingency</x:v>
      </x:c>
      <x:c r="D424" s="12" t="str">
        <x:v>Validate P26-REQ-423 using deterministic normal, boundary, invalid-unit, override, changed-library, and permission scenarios as applicable.</x:v>
      </x:c>
      <x:c r="E424" s="12" t="str">
        <x:v>Calculated outputs, units, lineage and approvals match the controlled formula/rule; invalid inputs and unauthorized overrides are blocked.</x:v>
      </x:c>
      <x:c r="F424" s="12" t="str">
        <x:v>Planned</x:v>
      </x:c>
    </x:row>
    <x:row r="425">
      <x:c r="A425" s="12" t="str">
        <x:v>P26-TST-424</x:v>
      </x:c>
      <x:c r="B425" s="12" t="str">
        <x:v>P26-REQ-424</x:v>
      </x:c>
      <x:c r="C425" s="12" t="str">
        <x:v>Markup</x:v>
      </x:c>
      <x:c r="D425" s="12" t="str">
        <x:v>Validate P26-REQ-424 using deterministic normal, boundary, invalid-unit, override, changed-library, and permission scenarios as applicable.</x:v>
      </x:c>
      <x:c r="E425" s="12" t="str">
        <x:v>Calculated outputs, units, lineage and approvals match the controlled formula/rule; invalid inputs and unauthorized overrides are blocked.</x:v>
      </x:c>
      <x:c r="F425" s="12" t="str">
        <x:v>Planned</x:v>
      </x:c>
    </x:row>
    <x:row r="426">
      <x:c r="A426" s="12" t="str">
        <x:v>P26-TST-425</x:v>
      </x:c>
      <x:c r="B426" s="12" t="str">
        <x:v>P26-REQ-425</x:v>
      </x:c>
      <x:c r="C426" s="12" t="str">
        <x:v>Overhead &amp; Profit</x:v>
      </x:c>
      <x:c r="D426" s="12" t="str">
        <x:v>Validate P26-REQ-425 using deterministic normal, boundary, invalid-unit, override, changed-library, and permission scenarios as applicable.</x:v>
      </x:c>
      <x:c r="E426" s="12" t="str">
        <x:v>Calculated outputs, units, lineage and approvals match the controlled formula/rule; invalid inputs and unauthorized overrides are blocked.</x:v>
      </x:c>
      <x:c r="F426" s="12" t="str">
        <x:v>Planned</x:v>
      </x:c>
    </x:row>
    <x:row r="427">
      <x:c r="A427" s="12" t="str">
        <x:v>P26-TST-426</x:v>
      </x:c>
      <x:c r="B427" s="12" t="str">
        <x:v>P26-REQ-426</x:v>
      </x:c>
      <x:c r="C427" s="12" t="str">
        <x:v>Tax &amp; Bond</x:v>
      </x:c>
      <x:c r="D427" s="12" t="str">
        <x:v>Validate P26-REQ-426 using deterministic normal, boundary, invalid-unit, override, changed-library, and permission scenarios as applicable.</x:v>
      </x:c>
      <x:c r="E427" s="12" t="str">
        <x:v>Calculated outputs, units, lineage and approvals match the controlled formula/rule; invalid inputs and unauthorized overrides are blocked.</x:v>
      </x:c>
      <x:c r="F427" s="12" t="str">
        <x:v>Planned</x:v>
      </x:c>
    </x:row>
    <x:row r="428">
      <x:c r="A428" s="12" t="str">
        <x:v>P26-TST-427</x:v>
      </x:c>
      <x:c r="B428" s="12" t="str">
        <x:v>P26-REQ-427</x:v>
      </x:c>
      <x:c r="C428" s="12" t="str">
        <x:v>Unit Price</x:v>
      </x:c>
      <x:c r="D428" s="12" t="str">
        <x:v>Validate P26-REQ-427 using deterministic normal, boundary, invalid-unit, override, changed-library, and permission scenarios as applicable.</x:v>
      </x:c>
      <x:c r="E428" s="12" t="str">
        <x:v>Calculated outputs, units, lineage and approvals match the controlled formula/rule; invalid inputs and unauthorized overrides are blocked.</x:v>
      </x:c>
      <x:c r="F428" s="12" t="str">
        <x:v>Planned</x:v>
      </x:c>
    </x:row>
    <x:row r="429">
      <x:c r="A429" s="12" t="str">
        <x:v>P26-TST-428</x:v>
      </x:c>
      <x:c r="B429" s="12" t="str">
        <x:v>P26-REQ-428</x:v>
      </x:c>
      <x:c r="C429" s="12" t="str">
        <x:v>Bid Price</x:v>
      </x:c>
      <x:c r="D429" s="12" t="str">
        <x:v>Validate P26-REQ-428 using deterministic normal, boundary, invalid-unit, override, changed-library, and permission scenarios as applicable.</x:v>
      </x:c>
      <x:c r="E429" s="12" t="str">
        <x:v>Calculated outputs, units, lineage and approvals match the controlled formula/rule; invalid inputs and unauthorized overrides are blocked.</x:v>
      </x:c>
      <x:c r="F429" s="12" t="str">
        <x:v>Planned</x:v>
      </x:c>
    </x:row>
    <x:row r="430">
      <x:c r="A430" s="12" t="str">
        <x:v>P26-TST-429</x:v>
      </x:c>
      <x:c r="B430" s="12" t="str">
        <x:v>P26-REQ-429</x:v>
      </x:c>
      <x:c r="C430" s="12" t="str">
        <x:v>Low/High Range</x:v>
      </x:c>
      <x:c r="D430" s="12" t="str">
        <x:v>Validate P26-REQ-429 using deterministic normal, boundary, invalid-unit, override, changed-library, and permission scenarios as applicable.</x:v>
      </x:c>
      <x:c r="E430" s="12" t="str">
        <x:v>Calculated outputs, units, lineage and approvals match the controlled formula/rule; invalid inputs and unauthorized overrides are blocked.</x:v>
      </x:c>
      <x:c r="F430" s="12" t="str">
        <x:v>Planned</x:v>
      </x:c>
    </x:row>
    <x:row r="431">
      <x:c r="A431" s="12" t="str">
        <x:v>P26-TST-430</x:v>
      </x:c>
      <x:c r="B431" s="12" t="str">
        <x:v>P26-REQ-430</x:v>
      </x:c>
      <x:c r="C431" s="12" t="str">
        <x:v>Scenario Comparison</x:v>
      </x:c>
      <x:c r="D431" s="12" t="str">
        <x:v>Validate P26-REQ-430 using deterministic normal, boundary, invalid-unit, override, changed-library, and permission scenarios as applicable.</x:v>
      </x:c>
      <x:c r="E431" s="12" t="str">
        <x:v>Calculated outputs, units, lineage and approvals match the controlled formula/rule; invalid inputs and unauthorized overrides are blocked.</x:v>
      </x:c>
      <x:c r="F431" s="12" t="str">
        <x:v>Planned</x:v>
      </x:c>
    </x:row>
    <x:row r="432">
      <x:c r="A432" s="12" t="str">
        <x:v>P26-TST-431</x:v>
      </x:c>
      <x:c r="B432" s="12" t="str">
        <x:v>P26-REQ-431</x:v>
      </x:c>
      <x:c r="C432" s="12" t="str">
        <x:v>Estimate Confidence</x:v>
      </x:c>
      <x:c r="D432" s="12" t="str">
        <x:v>Validate P26-REQ-431 using deterministic normal, boundary, invalid-unit, override, changed-library, and permission scenarios as applicable.</x:v>
      </x:c>
      <x:c r="E432" s="12" t="str">
        <x:v>Calculated outputs, units, lineage and approvals match the controlled formula/rule; invalid inputs and unauthorized overrides are blocked.</x:v>
      </x:c>
      <x:c r="F432" s="12" t="str">
        <x:v>Planned</x:v>
      </x:c>
    </x:row>
    <x:row r="433">
      <x:c r="A433" s="12" t="str">
        <x:v>P26-TST-432</x:v>
      </x:c>
      <x:c r="B433" s="12" t="str">
        <x:v>P26-REQ-432</x:v>
      </x:c>
      <x:c r="C433" s="12" t="str">
        <x:v>Regional Pricing</x:v>
      </x:c>
      <x:c r="D433" s="12" t="str">
        <x:v>Validate P26-REQ-432 using deterministic normal, boundary, invalid-unit, override, changed-library, and permission scenarios as applicable.</x:v>
      </x:c>
      <x:c r="E433" s="12" t="str">
        <x:v>Calculated outputs, units, lineage and approvals match the controlled formula/rule; invalid inputs and unauthorized overrides are blocked.</x:v>
      </x:c>
      <x:c r="F433" s="12" t="str">
        <x:v>Planned</x:v>
      </x:c>
    </x:row>
    <x:row r="434">
      <x:c r="A434" s="12" t="str">
        <x:v>P26-TST-433</x:v>
      </x:c>
      <x:c r="B434" s="12" t="str">
        <x:v>P26-REQ-433</x:v>
      </x:c>
      <x:c r="C434" s="12" t="str">
        <x:v>Vendor Quote Override</x:v>
      </x:c>
      <x:c r="D434" s="12" t="str">
        <x:v>Validate P26-REQ-433 using deterministic normal, boundary, invalid-unit, override, changed-library, and permission scenarios as applicable.</x:v>
      </x:c>
      <x:c r="E434" s="12" t="str">
        <x:v>Calculated outputs, units, lineage and approvals match the controlled formula/rule; invalid inputs and unauthorized overrides are blocked.</x:v>
      </x:c>
      <x:c r="F434" s="12" t="str">
        <x:v>Planned</x:v>
      </x:c>
    </x:row>
    <x:row r="435">
      <x:c r="A435" s="12" t="str">
        <x:v>P26-TST-434</x:v>
      </x:c>
      <x:c r="B435" s="12" t="str">
        <x:v>P26-REQ-434</x:v>
      </x:c>
      <x:c r="C435" s="12" t="str">
        <x:v>Snapshot Reproducibility</x:v>
      </x:c>
      <x:c r="D435" s="12" t="str">
        <x:v>Validate P26-REQ-434 using deterministic normal, boundary, invalid-unit, override, changed-library, and permission scenarios as applicable.</x:v>
      </x:c>
      <x:c r="E435" s="12" t="str">
        <x:v>Calculated outputs, units, lineage and approvals match the controlled formula/rule; invalid inputs and unauthorized overrides are blocked.</x:v>
      </x:c>
      <x:c r="F435" s="12" t="str">
        <x:v>Planned</x:v>
      </x:c>
    </x:row>
    <x:row r="436">
      <x:c r="A436" s="12" t="str">
        <x:v>P26-TST-435</x:v>
      </x:c>
      <x:c r="B436" s="12" t="str">
        <x:v>P26-REQ-435</x:v>
      </x:c>
      <x:c r="C436" s="12" t="str">
        <x:v>Service Catalog Writeback</x:v>
      </x:c>
      <x:c r="D436" s="12" t="str">
        <x:v>Validate P26-REQ-435 using deterministic normal, boundary, invalid-unit, override, changed-library, and permission scenarios as applicable.</x:v>
      </x:c>
      <x:c r="E436" s="12" t="str">
        <x:v>Calculated outputs, units, lineage and approvals match the controlled formula/rule; invalid inputs and unauthorized overrides are blocked.</x:v>
      </x:c>
      <x:c r="F436" s="12" t="str">
        <x:v>Planned</x:v>
      </x:c>
    </x:row>
    <x:row r="437">
      <x:c r="A437" s="12" t="str">
        <x:v>P26-TST-436</x:v>
      </x:c>
      <x:c r="B437" s="12" t="str">
        <x:v>P26-REQ-436</x:v>
      </x:c>
      <x:c r="C437" s="12" t="str">
        <x:v>AI Estimate Assist</x:v>
      </x:c>
      <x:c r="D437" s="12" t="str">
        <x:v>Validate P26-REQ-436 using deterministic normal, boundary, invalid-unit, override, changed-library, and permission scenarios as applicable.</x:v>
      </x:c>
      <x:c r="E437" s="12" t="str">
        <x:v>Calculated outputs, units, lineage and approvals match the controlled formula/rule; invalid inputs and unauthorized overrides are blocked.</x:v>
      </x:c>
      <x:c r="F437" s="12" t="str">
        <x:v>Planned</x:v>
      </x:c>
    </x:row>
    <x:row r="438">
      <x:c r="A438" s="12" t="str">
        <x:v>P26-TST-437</x:v>
      </x:c>
      <x:c r="B438" s="12" t="str">
        <x:v>P26-REQ-437</x:v>
      </x:c>
      <x:c r="C438" s="12" t="str">
        <x:v>Estimate Review &amp; Approval</x:v>
      </x:c>
      <x:c r="D438" s="12" t="str">
        <x:v>Validate P26-REQ-437 using deterministic normal, boundary, invalid-unit, override, changed-library, and permission scenarios as applicable.</x:v>
      </x:c>
      <x:c r="E438" s="12" t="str">
        <x:v>Calculated outputs, units, lineage and approvals match the controlled formula/rule; invalid inputs and unauthorized overrides are blocked.</x:v>
      </x:c>
      <x:c r="F438" s="12" t="str">
        <x:v>Planned</x:v>
      </x:c>
    </x:row>
    <x:row r="439">
      <x:c r="A439" s="12" t="str">
        <x:v>P26-TST-438</x:v>
      </x:c>
      <x:c r="B439" s="12" t="str">
        <x:v>P26-REQ-438</x:v>
      </x:c>
      <x:c r="C439" s="12" t="str">
        <x:v>Estimate Export</x:v>
      </x:c>
      <x:c r="D439" s="12" t="str">
        <x:v>Validate P26-REQ-438 using deterministic normal, boundary, invalid-unit, override, changed-library, and permission scenarios as applicable.</x:v>
      </x:c>
      <x:c r="E439" s="12" t="str">
        <x:v>Calculated outputs, units, lineage and approvals match the controlled formula/rule; invalid inputs and unauthorized overrides are blocked.</x:v>
      </x:c>
      <x:c r="F439" s="12" t="str">
        <x:v>Planned</x:v>
      </x:c>
    </x:row>
    <x:row r="440">
      <x:c r="A440" s="12" t="str">
        <x:v>P26-TST-439</x:v>
      </x:c>
      <x:c r="B440" s="12" t="str">
        <x:v>P26-REQ-439</x:v>
      </x:c>
      <x:c r="C440" s="12" t="str">
        <x:v>Proposal Handoff</x:v>
      </x:c>
      <x:c r="D440" s="12" t="str">
        <x:v>Validate P26-REQ-439 using deterministic normal, boundary, invalid-unit, override, changed-library, and permission scenarios as applicable.</x:v>
      </x:c>
      <x:c r="E440" s="12" t="str">
        <x:v>Calculated outputs, units, lineage and approvals match the controlled formula/rule; invalid inputs and unauthorized overrides are blocked.</x:v>
      </x:c>
      <x:c r="F440" s="12" t="str">
        <x:v>Planned</x:v>
      </x:c>
    </x:row>
    <x:row r="441">
      <x:c r="A441" s="12" t="str">
        <x:v>P26-TST-440</x:v>
      </x:c>
      <x:c r="B441" s="12" t="str">
        <x:v>P26-REQ-440</x:v>
      </x:c>
      <x:c r="C441" s="12" t="str">
        <x:v>Job Cost Baseline</x:v>
      </x:c>
      <x:c r="D441" s="12" t="str">
        <x:v>Validate P26-REQ-440 using deterministic normal, boundary, invalid-unit, override, changed-library, and permission scenarios as applicable.</x:v>
      </x:c>
      <x:c r="E441" s="12" t="str">
        <x:v>Calculated outputs, units, lineage and approvals match the controlled formula/rule; invalid inputs and unauthorized overrides are blocked.</x:v>
      </x:c>
      <x:c r="F441" s="12" t="str">
        <x:v>Planned</x:v>
      </x:c>
    </x:row>
    <x:row r="442">
      <x:c r="A442" s="12" t="str">
        <x:v>P26-TST-441</x:v>
      </x:c>
      <x:c r="B442" s="12" t="str">
        <x:v>P26-REQ-441</x:v>
      </x:c>
      <x:c r="C442" s="12" t="str">
        <x:v>Audit &amp; Traceability</x:v>
      </x:c>
      <x:c r="D442" s="12" t="str">
        <x:v>Validate P26-REQ-441 using deterministic normal, boundary, invalid-unit, override, changed-library, and permission scenarios as applicable.</x:v>
      </x:c>
      <x:c r="E442" s="12" t="str">
        <x:v>Calculated outputs, units, lineage and approvals match the controlled formula/rule; invalid inputs and unauthorized overrides are blocked.</x:v>
      </x:c>
      <x:c r="F442" s="12" t="str">
        <x:v>Planned</x:v>
      </x:c>
    </x:row>
    <x:row r="443">
      <x:c r="A443" s="12" t="str">
        <x:v>P26-TST-442</x:v>
      </x:c>
      <x:c r="B443" s="12" t="str">
        <x:v>P26-REQ-442</x:v>
      </x:c>
      <x:c r="C443" s="12" t="str">
        <x:v>Estimate Lifecycle</x:v>
      </x:c>
      <x:c r="D443" s="12" t="str">
        <x:v>Validate P26-REQ-442 using deterministic normal, boundary, invalid-unit, override, changed-library, and permission scenarios as applicable.</x:v>
      </x:c>
      <x:c r="E443" s="12" t="str">
        <x:v>Calculated outputs, units, lineage and approvals match the controlled formula/rule; invalid inputs and unauthorized overrides are blocked.</x:v>
      </x:c>
      <x:c r="F443" s="12" t="str">
        <x:v>Planned</x:v>
      </x:c>
    </x:row>
    <x:row r="444">
      <x:c r="A444" s="12" t="str">
        <x:v>P26-TST-443</x:v>
      </x:c>
      <x:c r="B444" s="12" t="str">
        <x:v>P26-REQ-443</x:v>
      </x:c>
      <x:c r="C444" s="12" t="str">
        <x:v>Estimate Versions</x:v>
      </x:c>
      <x:c r="D444" s="12" t="str">
        <x:v>Validate P26-REQ-443 using deterministic normal, boundary, invalid-unit, override, changed-library, and permission scenarios as applicable.</x:v>
      </x:c>
      <x:c r="E444" s="12" t="str">
        <x:v>Calculated outputs, units, lineage and approvals match the controlled formula/rule; invalid inputs and unauthorized overrides are blocked.</x:v>
      </x:c>
      <x:c r="F444" s="12" t="str">
        <x:v>Planned</x:v>
      </x:c>
    </x:row>
    <x:row r="445">
      <x:c r="A445" s="12" t="str">
        <x:v>P26-TST-444</x:v>
      </x:c>
      <x:c r="B445" s="12" t="str">
        <x:v>P26-REQ-444</x:v>
      </x:c>
      <x:c r="C445" s="12" t="str">
        <x:v>Estimate Templates</x:v>
      </x:c>
      <x:c r="D445" s="12" t="str">
        <x:v>Validate P26-REQ-444 using deterministic normal, boundary, invalid-unit, override, changed-library, and permission scenarios as applicable.</x:v>
      </x:c>
      <x:c r="E445" s="12" t="str">
        <x:v>Calculated outputs, units, lineage and approvals match the controlled formula/rule; invalid inputs and unauthorized overrides are blocked.</x:v>
      </x:c>
      <x:c r="F445" s="12" t="str">
        <x:v>Planned</x:v>
      </x:c>
    </x:row>
    <x:row r="446">
      <x:c r="A446" s="12" t="str">
        <x:v>P26-TST-445</x:v>
      </x:c>
      <x:c r="B446" s="12" t="str">
        <x:v>P26-REQ-445</x:v>
      </x:c>
      <x:c r="C446" s="12" t="str">
        <x:v>Service Selection</x:v>
      </x:c>
      <x:c r="D446" s="12" t="str">
        <x:v>Validate P26-REQ-445 using deterministic normal, boundary, invalid-unit, override, changed-library, and permission scenarios as applicable.</x:v>
      </x:c>
      <x:c r="E446" s="12" t="str">
        <x:v>Calculated outputs, units, lineage and approvals match the controlled formula/rule; invalid inputs and unauthorized overrides are blocked.</x:v>
      </x:c>
      <x:c r="F446" s="12" t="str">
        <x:v>Planned</x:v>
      </x:c>
    </x:row>
    <x:row r="447">
      <x:c r="A447" s="12" t="str">
        <x:v>P26-TST-446</x:v>
      </x:c>
      <x:c r="B447" s="12" t="str">
        <x:v>P26-REQ-446</x:v>
      </x:c>
      <x:c r="C447" s="12" t="str">
        <x:v>Assembly Expansion</x:v>
      </x:c>
      <x:c r="D447" s="12" t="str">
        <x:v>Validate P26-REQ-446 using deterministic normal, boundary, invalid-unit, override, changed-library, and permission scenarios as applicable.</x:v>
      </x:c>
      <x:c r="E447" s="12" t="str">
        <x:v>Calculated outputs, units, lineage and approvals match the controlled formula/rule; invalid inputs and unauthorized overrides are blocked.</x:v>
      </x:c>
      <x:c r="F447" s="12" t="str">
        <x:v>Planned</x:v>
      </x:c>
    </x:row>
    <x:row r="448">
      <x:c r="A448" s="12" t="str">
        <x:v>P26-TST-447</x:v>
      </x:c>
      <x:c r="B448" s="12" t="str">
        <x:v>P26-REQ-447</x:v>
      </x:c>
      <x:c r="C448" s="12" t="str">
        <x:v>Quantity Input</x:v>
      </x:c>
      <x:c r="D448" s="12" t="str">
        <x:v>Validate P26-REQ-447 using deterministic normal, boundary, invalid-unit, override, changed-library, and permission scenarios as applicable.</x:v>
      </x:c>
      <x:c r="E448" s="12" t="str">
        <x:v>Calculated outputs, units, lineage and approvals match the controlled formula/rule; invalid inputs and unauthorized overrides are blocked.</x:v>
      </x:c>
      <x:c r="F448" s="12" t="str">
        <x:v>Planned</x:v>
      </x:c>
    </x:row>
    <x:row r="449">
      <x:c r="A449" s="12" t="str">
        <x:v>P26-TST-448</x:v>
      </x:c>
      <x:c r="B449" s="12" t="str">
        <x:v>P26-REQ-448</x:v>
      </x:c>
      <x:c r="C449" s="12" t="str">
        <x:v>Quantity Takeoff Intake</x:v>
      </x:c>
      <x:c r="D449" s="12" t="str">
        <x:v>Validate P26-REQ-448 using deterministic normal, boundary, invalid-unit, override, changed-library, and permission scenarios as applicable.</x:v>
      </x:c>
      <x:c r="E449" s="12" t="str">
        <x:v>Calculated outputs, units, lineage and approvals match the controlled formula/rule; invalid inputs and unauthorized overrides are blocked.</x:v>
      </x:c>
      <x:c r="F449" s="12" t="str">
        <x:v>Planned</x:v>
      </x:c>
    </x:row>
    <x:row r="450">
      <x:c r="A450" s="12" t="str">
        <x:v>P26-TST-449</x:v>
      </x:c>
      <x:c r="B450" s="12" t="str">
        <x:v>P26-REQ-449</x:v>
      </x:c>
      <x:c r="C450" s="12" t="str">
        <x:v>Labor Cost</x:v>
      </x:c>
      <x:c r="D450" s="12" t="str">
        <x:v>Validate P26-REQ-449 using deterministic normal, boundary, invalid-unit, override, changed-library, and permission scenarios as applicable.</x:v>
      </x:c>
      <x:c r="E450" s="12" t="str">
        <x:v>Calculated outputs, units, lineage and approvals match the controlled formula/rule; invalid inputs and unauthorized overrides are blocked.</x:v>
      </x:c>
      <x:c r="F450" s="12" t="str">
        <x:v>Planned</x:v>
      </x:c>
    </x:row>
    <x:row r="451">
      <x:c r="A451" s="12" t="str">
        <x:v>P26-TST-450</x:v>
      </x:c>
      <x:c r="B451" s="12" t="str">
        <x:v>P26-REQ-450</x:v>
      </x:c>
      <x:c r="C451" s="12" t="str">
        <x:v>Labor Burden</x:v>
      </x:c>
      <x:c r="D451" s="12" t="str">
        <x:v>Validate P26-REQ-450 using deterministic normal, boundary, invalid-unit, override, changed-library, and permission scenarios as applicable.</x:v>
      </x:c>
      <x:c r="E451" s="12" t="str">
        <x:v>Calculated outputs, units, lineage and approvals match the controlled formula/rule; invalid inputs and unauthorized overrides are blocked.</x:v>
      </x:c>
      <x:c r="F45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phase25_module</x:v>
      </x:c>
      <x:c r="D1" s="6" t="str">
        <x:v>phase26_module</x:v>
      </x:c>
      <x:c r="E1" s="6" t="str">
        <x:v>status</x:v>
      </x:c>
    </x:row>
    <x:row r="2">
      <x:c r="A2" s="12" t="str">
        <x:v>P26-REQ-001</x:v>
      </x:c>
      <x:c r="B2" s="12" t="str">
        <x:v>P26-TST-001</x:v>
      </x:c>
      <x:c r="C2" s="12" t="str">
        <x:v>P25-MOD-001</x:v>
      </x:c>
      <x:c r="D2" s="12" t="str">
        <x:v>P26-MOD-001</x:v>
      </x:c>
      <x:c r="E2" s="12" t="str">
        <x:v>Mapped</x:v>
      </x:c>
    </x:row>
    <x:row r="3">
      <x:c r="A3" s="12" t="str">
        <x:v>P26-REQ-002</x:v>
      </x:c>
      <x:c r="B3" s="12" t="str">
        <x:v>P26-TST-002</x:v>
      </x:c>
      <x:c r="C3" s="12" t="str">
        <x:v>P25-MOD-002</x:v>
      </x:c>
      <x:c r="D3" s="12" t="str">
        <x:v>P26-MOD-002</x:v>
      </x:c>
      <x:c r="E3" s="12" t="str">
        <x:v>Mapped</x:v>
      </x:c>
    </x:row>
    <x:row r="4">
      <x:c r="A4" s="12" t="str">
        <x:v>P26-REQ-003</x:v>
      </x:c>
      <x:c r="B4" s="12" t="str">
        <x:v>P26-TST-003</x:v>
      </x:c>
      <x:c r="C4" s="12" t="str">
        <x:v>P25-MOD-003</x:v>
      </x:c>
      <x:c r="D4" s="12" t="str">
        <x:v>P26-MOD-003</x:v>
      </x:c>
      <x:c r="E4" s="12" t="str">
        <x:v>Mapped</x:v>
      </x:c>
    </x:row>
    <x:row r="5">
      <x:c r="A5" s="12" t="str">
        <x:v>P26-REQ-004</x:v>
      </x:c>
      <x:c r="B5" s="12" t="str">
        <x:v>P26-TST-004</x:v>
      </x:c>
      <x:c r="C5" s="12" t="str">
        <x:v>P25-MOD-004</x:v>
      </x:c>
      <x:c r="D5" s="12" t="str">
        <x:v>P26-MOD-004</x:v>
      </x:c>
      <x:c r="E5" s="12" t="str">
        <x:v>Mapped</x:v>
      </x:c>
    </x:row>
    <x:row r="6">
      <x:c r="A6" s="12" t="str">
        <x:v>P26-REQ-005</x:v>
      </x:c>
      <x:c r="B6" s="12" t="str">
        <x:v>P26-TST-005</x:v>
      </x:c>
      <x:c r="C6" s="12" t="str">
        <x:v>P25-MOD-005</x:v>
      </x:c>
      <x:c r="D6" s="12" t="str">
        <x:v>P26-MOD-005</x:v>
      </x:c>
      <x:c r="E6" s="12" t="str">
        <x:v>Mapped</x:v>
      </x:c>
    </x:row>
    <x:row r="7">
      <x:c r="A7" s="12" t="str">
        <x:v>P26-REQ-006</x:v>
      </x:c>
      <x:c r="B7" s="12" t="str">
        <x:v>P26-TST-006</x:v>
      </x:c>
      <x:c r="C7" s="12" t="str">
        <x:v>P25-MOD-006</x:v>
      </x:c>
      <x:c r="D7" s="12" t="str">
        <x:v>P26-MOD-006</x:v>
      </x:c>
      <x:c r="E7" s="12" t="str">
        <x:v>Mapped</x:v>
      </x:c>
    </x:row>
    <x:row r="8">
      <x:c r="A8" s="12" t="str">
        <x:v>P26-REQ-007</x:v>
      </x:c>
      <x:c r="B8" s="12" t="str">
        <x:v>P26-TST-007</x:v>
      </x:c>
      <x:c r="C8" s="12" t="str">
        <x:v>P25-MOD-007</x:v>
      </x:c>
      <x:c r="D8" s="12" t="str">
        <x:v>P26-MOD-007</x:v>
      </x:c>
      <x:c r="E8" s="12" t="str">
        <x:v>Mapped</x:v>
      </x:c>
    </x:row>
    <x:row r="9">
      <x:c r="A9" s="12" t="str">
        <x:v>P26-REQ-008</x:v>
      </x:c>
      <x:c r="B9" s="12" t="str">
        <x:v>P26-TST-008</x:v>
      </x:c>
      <x:c r="C9" s="12" t="str">
        <x:v>P25-MOD-008</x:v>
      </x:c>
      <x:c r="D9" s="12" t="str">
        <x:v>P26-MOD-008</x:v>
      </x:c>
      <x:c r="E9" s="12" t="str">
        <x:v>Mapped</x:v>
      </x:c>
    </x:row>
    <x:row r="10">
      <x:c r="A10" s="12" t="str">
        <x:v>P26-REQ-009</x:v>
      </x:c>
      <x:c r="B10" s="12" t="str">
        <x:v>P26-TST-009</x:v>
      </x:c>
      <x:c r="C10" s="12" t="str">
        <x:v>P25-MOD-009</x:v>
      </x:c>
      <x:c r="D10" s="12" t="str">
        <x:v>P26-MOD-009</x:v>
      </x:c>
      <x:c r="E10" s="12" t="str">
        <x:v>Mapped</x:v>
      </x:c>
    </x:row>
    <x:row r="11">
      <x:c r="A11" s="12" t="str">
        <x:v>P26-REQ-010</x:v>
      </x:c>
      <x:c r="B11" s="12" t="str">
        <x:v>P26-TST-010</x:v>
      </x:c>
      <x:c r="C11" s="12" t="str">
        <x:v>P25-MOD-010</x:v>
      </x:c>
      <x:c r="D11" s="12" t="str">
        <x:v>P26-MOD-010</x:v>
      </x:c>
      <x:c r="E11" s="12" t="str">
        <x:v>Mapped</x:v>
      </x:c>
    </x:row>
    <x:row r="12">
      <x:c r="A12" s="12" t="str">
        <x:v>P26-REQ-011</x:v>
      </x:c>
      <x:c r="B12" s="12" t="str">
        <x:v>P26-TST-011</x:v>
      </x:c>
      <x:c r="C12" s="12" t="str">
        <x:v>P25-MOD-011</x:v>
      </x:c>
      <x:c r="D12" s="12" t="str">
        <x:v>P26-MOD-011</x:v>
      </x:c>
      <x:c r="E12" s="12" t="str">
        <x:v>Mapped</x:v>
      </x:c>
    </x:row>
    <x:row r="13">
      <x:c r="A13" s="12" t="str">
        <x:v>P26-REQ-012</x:v>
      </x:c>
      <x:c r="B13" s="12" t="str">
        <x:v>P26-TST-012</x:v>
      </x:c>
      <x:c r="C13" s="12" t="str">
        <x:v>P25-MOD-012</x:v>
      </x:c>
      <x:c r="D13" s="12" t="str">
        <x:v>P26-MOD-012</x:v>
      </x:c>
      <x:c r="E13" s="12" t="str">
        <x:v>Mapped</x:v>
      </x:c>
    </x:row>
    <x:row r="14">
      <x:c r="A14" s="12" t="str">
        <x:v>P26-REQ-013</x:v>
      </x:c>
      <x:c r="B14" s="12" t="str">
        <x:v>P26-TST-013</x:v>
      </x:c>
      <x:c r="C14" s="12" t="str">
        <x:v>P25-MOD-013</x:v>
      </x:c>
      <x:c r="D14" s="12" t="str">
        <x:v>P26-MOD-013</x:v>
      </x:c>
      <x:c r="E14" s="12" t="str">
        <x:v>Mapped</x:v>
      </x:c>
    </x:row>
    <x:row r="15">
      <x:c r="A15" s="12" t="str">
        <x:v>P26-REQ-014</x:v>
      </x:c>
      <x:c r="B15" s="12" t="str">
        <x:v>P26-TST-014</x:v>
      </x:c>
      <x:c r="C15" s="12" t="str">
        <x:v>P25-MOD-014</x:v>
      </x:c>
      <x:c r="D15" s="12" t="str">
        <x:v>P26-MOD-014</x:v>
      </x:c>
      <x:c r="E15" s="12" t="str">
        <x:v>Mapped</x:v>
      </x:c>
    </x:row>
    <x:row r="16">
      <x:c r="A16" s="12" t="str">
        <x:v>P26-REQ-015</x:v>
      </x:c>
      <x:c r="B16" s="12" t="str">
        <x:v>P26-TST-015</x:v>
      </x:c>
      <x:c r="C16" s="12" t="str">
        <x:v>P25-MOD-015</x:v>
      </x:c>
      <x:c r="D16" s="12" t="str">
        <x:v>P26-MOD-015</x:v>
      </x:c>
      <x:c r="E16" s="12" t="str">
        <x:v>Mapped</x:v>
      </x:c>
    </x:row>
    <x:row r="17">
      <x:c r="A17" s="12" t="str">
        <x:v>P26-REQ-016</x:v>
      </x:c>
      <x:c r="B17" s="12" t="str">
        <x:v>P26-TST-016</x:v>
      </x:c>
      <x:c r="C17" s="12" t="str">
        <x:v>P25-MOD-016</x:v>
      </x:c>
      <x:c r="D17" s="12" t="str">
        <x:v>P26-MOD-016</x:v>
      </x:c>
      <x:c r="E17" s="12" t="str">
        <x:v>Mapped</x:v>
      </x:c>
    </x:row>
    <x:row r="18">
      <x:c r="A18" s="12" t="str">
        <x:v>P26-REQ-017</x:v>
      </x:c>
      <x:c r="B18" s="12" t="str">
        <x:v>P26-TST-017</x:v>
      </x:c>
      <x:c r="C18" s="12" t="str">
        <x:v>P25-MOD-017</x:v>
      </x:c>
      <x:c r="D18" s="12" t="str">
        <x:v>P26-MOD-017</x:v>
      </x:c>
      <x:c r="E18" s="12" t="str">
        <x:v>Mapped</x:v>
      </x:c>
    </x:row>
    <x:row r="19">
      <x:c r="A19" s="12" t="str">
        <x:v>P26-REQ-018</x:v>
      </x:c>
      <x:c r="B19" s="12" t="str">
        <x:v>P26-TST-018</x:v>
      </x:c>
      <x:c r="C19" s="12" t="str">
        <x:v>P25-MOD-018</x:v>
      </x:c>
      <x:c r="D19" s="12" t="str">
        <x:v>P26-MOD-018</x:v>
      </x:c>
      <x:c r="E19" s="12" t="str">
        <x:v>Mapped</x:v>
      </x:c>
    </x:row>
    <x:row r="20">
      <x:c r="A20" s="12" t="str">
        <x:v>P26-REQ-019</x:v>
      </x:c>
      <x:c r="B20" s="12" t="str">
        <x:v>P26-TST-019</x:v>
      </x:c>
      <x:c r="C20" s="12" t="str">
        <x:v>P25-MOD-019</x:v>
      </x:c>
      <x:c r="D20" s="12" t="str">
        <x:v>P26-MOD-019</x:v>
      </x:c>
      <x:c r="E20" s="12" t="str">
        <x:v>Mapped</x:v>
      </x:c>
    </x:row>
    <x:row r="21">
      <x:c r="A21" s="12" t="str">
        <x:v>P26-REQ-020</x:v>
      </x:c>
      <x:c r="B21" s="12" t="str">
        <x:v>P26-TST-020</x:v>
      </x:c>
      <x:c r="C21" s="12" t="str">
        <x:v>P25-MOD-020</x:v>
      </x:c>
      <x:c r="D21" s="12" t="str">
        <x:v>P26-MOD-020</x:v>
      </x:c>
      <x:c r="E21" s="12" t="str">
        <x:v>Mapped</x:v>
      </x:c>
    </x:row>
    <x:row r="22">
      <x:c r="A22" s="12" t="str">
        <x:v>P26-REQ-021</x:v>
      </x:c>
      <x:c r="B22" s="12" t="str">
        <x:v>P26-TST-021</x:v>
      </x:c>
      <x:c r="C22" s="12" t="str">
        <x:v>P25-MOD-021</x:v>
      </x:c>
      <x:c r="D22" s="12" t="str">
        <x:v>P26-MOD-021</x:v>
      </x:c>
      <x:c r="E22" s="12" t="str">
        <x:v>Mapped</x:v>
      </x:c>
    </x:row>
    <x:row r="23">
      <x:c r="A23" s="12" t="str">
        <x:v>P26-REQ-022</x:v>
      </x:c>
      <x:c r="B23" s="12" t="str">
        <x:v>P26-TST-022</x:v>
      </x:c>
      <x:c r="C23" s="12" t="str">
        <x:v>P25-MOD-022</x:v>
      </x:c>
      <x:c r="D23" s="12" t="str">
        <x:v>P26-MOD-022</x:v>
      </x:c>
      <x:c r="E23" s="12" t="str">
        <x:v>Mapped</x:v>
      </x:c>
    </x:row>
    <x:row r="24">
      <x:c r="A24" s="12" t="str">
        <x:v>P26-REQ-023</x:v>
      </x:c>
      <x:c r="B24" s="12" t="str">
        <x:v>P26-TST-023</x:v>
      </x:c>
      <x:c r="C24" s="12" t="str">
        <x:v>P25-MOD-023</x:v>
      </x:c>
      <x:c r="D24" s="12" t="str">
        <x:v>P26-MOD-023</x:v>
      </x:c>
      <x:c r="E24" s="12" t="str">
        <x:v>Mapped</x:v>
      </x:c>
    </x:row>
    <x:row r="25">
      <x:c r="A25" s="12" t="str">
        <x:v>P26-REQ-024</x:v>
      </x:c>
      <x:c r="B25" s="12" t="str">
        <x:v>P26-TST-024</x:v>
      </x:c>
      <x:c r="C25" s="12" t="str">
        <x:v>P25-MOD-024</x:v>
      </x:c>
      <x:c r="D25" s="12" t="str">
        <x:v>P26-MOD-024</x:v>
      </x:c>
      <x:c r="E25" s="12" t="str">
        <x:v>Mapped</x:v>
      </x:c>
    </x:row>
    <x:row r="26">
      <x:c r="A26" s="12" t="str">
        <x:v>P26-REQ-025</x:v>
      </x:c>
      <x:c r="B26" s="12" t="str">
        <x:v>P26-TST-025</x:v>
      </x:c>
      <x:c r="C26" s="12" t="str">
        <x:v>P25-MOD-001</x:v>
      </x:c>
      <x:c r="D26" s="12" t="str">
        <x:v>P26-MOD-025</x:v>
      </x:c>
      <x:c r="E26" s="12" t="str">
        <x:v>Mapped</x:v>
      </x:c>
    </x:row>
    <x:row r="27">
      <x:c r="A27" s="12" t="str">
        <x:v>P26-REQ-026</x:v>
      </x:c>
      <x:c r="B27" s="12" t="str">
        <x:v>P26-TST-026</x:v>
      </x:c>
      <x:c r="C27" s="12" t="str">
        <x:v>P25-MOD-002</x:v>
      </x:c>
      <x:c r="D27" s="12" t="str">
        <x:v>P26-MOD-026</x:v>
      </x:c>
      <x:c r="E27" s="12" t="str">
        <x:v>Mapped</x:v>
      </x:c>
    </x:row>
    <x:row r="28">
      <x:c r="A28" s="12" t="str">
        <x:v>P26-REQ-027</x:v>
      </x:c>
      <x:c r="B28" s="12" t="str">
        <x:v>P26-TST-027</x:v>
      </x:c>
      <x:c r="C28" s="12" t="str">
        <x:v>P25-MOD-003</x:v>
      </x:c>
      <x:c r="D28" s="12" t="str">
        <x:v>P26-MOD-027</x:v>
      </x:c>
      <x:c r="E28" s="12" t="str">
        <x:v>Mapped</x:v>
      </x:c>
    </x:row>
    <x:row r="29">
      <x:c r="A29" s="12" t="str">
        <x:v>P26-REQ-028</x:v>
      </x:c>
      <x:c r="B29" s="12" t="str">
        <x:v>P26-TST-028</x:v>
      </x:c>
      <x:c r="C29" s="12" t="str">
        <x:v>P25-MOD-004</x:v>
      </x:c>
      <x:c r="D29" s="12" t="str">
        <x:v>P26-MOD-028</x:v>
      </x:c>
      <x:c r="E29" s="12" t="str">
        <x:v>Mapped</x:v>
      </x:c>
    </x:row>
    <x:row r="30">
      <x:c r="A30" s="12" t="str">
        <x:v>P26-REQ-029</x:v>
      </x:c>
      <x:c r="B30" s="12" t="str">
        <x:v>P26-TST-029</x:v>
      </x:c>
      <x:c r="C30" s="12" t="str">
        <x:v>P25-MOD-005</x:v>
      </x:c>
      <x:c r="D30" s="12" t="str">
        <x:v>P26-MOD-029</x:v>
      </x:c>
      <x:c r="E30" s="12" t="str">
        <x:v>Mapped</x:v>
      </x:c>
    </x:row>
    <x:row r="31">
      <x:c r="A31" s="12" t="str">
        <x:v>P26-REQ-030</x:v>
      </x:c>
      <x:c r="B31" s="12" t="str">
        <x:v>P26-TST-030</x:v>
      </x:c>
      <x:c r="C31" s="12" t="str">
        <x:v>P25-MOD-006</x:v>
      </x:c>
      <x:c r="D31" s="12" t="str">
        <x:v>P26-MOD-030</x:v>
      </x:c>
      <x:c r="E31" s="12" t="str">
        <x:v>Mapped</x:v>
      </x:c>
    </x:row>
    <x:row r="32">
      <x:c r="A32" s="12" t="str">
        <x:v>P26-REQ-031</x:v>
      </x:c>
      <x:c r="B32" s="12" t="str">
        <x:v>P26-TST-031</x:v>
      </x:c>
      <x:c r="C32" s="12" t="str">
        <x:v>P25-MOD-007</x:v>
      </x:c>
      <x:c r="D32" s="12" t="str">
        <x:v>P26-MOD-001</x:v>
      </x:c>
      <x:c r="E32" s="12" t="str">
        <x:v>Mapped</x:v>
      </x:c>
    </x:row>
    <x:row r="33">
      <x:c r="A33" s="12" t="str">
        <x:v>P26-REQ-032</x:v>
      </x:c>
      <x:c r="B33" s="12" t="str">
        <x:v>P26-TST-032</x:v>
      </x:c>
      <x:c r="C33" s="12" t="str">
        <x:v>P25-MOD-008</x:v>
      </x:c>
      <x:c r="D33" s="12" t="str">
        <x:v>P26-MOD-002</x:v>
      </x:c>
      <x:c r="E33" s="12" t="str">
        <x:v>Mapped</x:v>
      </x:c>
    </x:row>
    <x:row r="34">
      <x:c r="A34" s="12" t="str">
        <x:v>P26-REQ-033</x:v>
      </x:c>
      <x:c r="B34" s="12" t="str">
        <x:v>P26-TST-033</x:v>
      </x:c>
      <x:c r="C34" s="12" t="str">
        <x:v>P25-MOD-009</x:v>
      </x:c>
      <x:c r="D34" s="12" t="str">
        <x:v>P26-MOD-003</x:v>
      </x:c>
      <x:c r="E34" s="12" t="str">
        <x:v>Mapped</x:v>
      </x:c>
    </x:row>
    <x:row r="35">
      <x:c r="A35" s="12" t="str">
        <x:v>P26-REQ-034</x:v>
      </x:c>
      <x:c r="B35" s="12" t="str">
        <x:v>P26-TST-034</x:v>
      </x:c>
      <x:c r="C35" s="12" t="str">
        <x:v>P25-MOD-010</x:v>
      </x:c>
      <x:c r="D35" s="12" t="str">
        <x:v>P26-MOD-004</x:v>
      </x:c>
      <x:c r="E35" s="12" t="str">
        <x:v>Mapped</x:v>
      </x:c>
    </x:row>
    <x:row r="36">
      <x:c r="A36" s="12" t="str">
        <x:v>P26-REQ-035</x:v>
      </x:c>
      <x:c r="B36" s="12" t="str">
        <x:v>P26-TST-035</x:v>
      </x:c>
      <x:c r="C36" s="12" t="str">
        <x:v>P25-MOD-011</x:v>
      </x:c>
      <x:c r="D36" s="12" t="str">
        <x:v>P26-MOD-005</x:v>
      </x:c>
      <x:c r="E36" s="12" t="str">
        <x:v>Mapped</x:v>
      </x:c>
    </x:row>
    <x:row r="37">
      <x:c r="A37" s="12" t="str">
        <x:v>P26-REQ-036</x:v>
      </x:c>
      <x:c r="B37" s="12" t="str">
        <x:v>P26-TST-036</x:v>
      </x:c>
      <x:c r="C37" s="12" t="str">
        <x:v>P25-MOD-012</x:v>
      </x:c>
      <x:c r="D37" s="12" t="str">
        <x:v>P26-MOD-006</x:v>
      </x:c>
      <x:c r="E37" s="12" t="str">
        <x:v>Mapped</x:v>
      </x:c>
    </x:row>
    <x:row r="38">
      <x:c r="A38" s="12" t="str">
        <x:v>P26-REQ-037</x:v>
      </x:c>
      <x:c r="B38" s="12" t="str">
        <x:v>P26-TST-037</x:v>
      </x:c>
      <x:c r="C38" s="12" t="str">
        <x:v>P25-MOD-013</x:v>
      </x:c>
      <x:c r="D38" s="12" t="str">
        <x:v>P26-MOD-007</x:v>
      </x:c>
      <x:c r="E38" s="12" t="str">
        <x:v>Mapped</x:v>
      </x:c>
    </x:row>
    <x:row r="39">
      <x:c r="A39" s="12" t="str">
        <x:v>P26-REQ-038</x:v>
      </x:c>
      <x:c r="B39" s="12" t="str">
        <x:v>P26-TST-038</x:v>
      </x:c>
      <x:c r="C39" s="12" t="str">
        <x:v>P25-MOD-014</x:v>
      </x:c>
      <x:c r="D39" s="12" t="str">
        <x:v>P26-MOD-008</x:v>
      </x:c>
      <x:c r="E39" s="12" t="str">
        <x:v>Mapped</x:v>
      </x:c>
    </x:row>
    <x:row r="40">
      <x:c r="A40" s="12" t="str">
        <x:v>P26-REQ-039</x:v>
      </x:c>
      <x:c r="B40" s="12" t="str">
        <x:v>P26-TST-039</x:v>
      </x:c>
      <x:c r="C40" s="12" t="str">
        <x:v>P25-MOD-015</x:v>
      </x:c>
      <x:c r="D40" s="12" t="str">
        <x:v>P26-MOD-009</x:v>
      </x:c>
      <x:c r="E40" s="12" t="str">
        <x:v>Mapped</x:v>
      </x:c>
    </x:row>
    <x:row r="41">
      <x:c r="A41" s="12" t="str">
        <x:v>P26-REQ-040</x:v>
      </x:c>
      <x:c r="B41" s="12" t="str">
        <x:v>P26-TST-040</x:v>
      </x:c>
      <x:c r="C41" s="12" t="str">
        <x:v>P25-MOD-016</x:v>
      </x:c>
      <x:c r="D41" s="12" t="str">
        <x:v>P26-MOD-010</x:v>
      </x:c>
      <x:c r="E41" s="12" t="str">
        <x:v>Mapped</x:v>
      </x:c>
    </x:row>
    <x:row r="42">
      <x:c r="A42" s="12" t="str">
        <x:v>P26-REQ-041</x:v>
      </x:c>
      <x:c r="B42" s="12" t="str">
        <x:v>P26-TST-041</x:v>
      </x:c>
      <x:c r="C42" s="12" t="str">
        <x:v>P25-MOD-017</x:v>
      </x:c>
      <x:c r="D42" s="12" t="str">
        <x:v>P26-MOD-011</x:v>
      </x:c>
      <x:c r="E42" s="12" t="str">
        <x:v>Mapped</x:v>
      </x:c>
    </x:row>
    <x:row r="43">
      <x:c r="A43" s="12" t="str">
        <x:v>P26-REQ-042</x:v>
      </x:c>
      <x:c r="B43" s="12" t="str">
        <x:v>P26-TST-042</x:v>
      </x:c>
      <x:c r="C43" s="12" t="str">
        <x:v>P25-MOD-018</x:v>
      </x:c>
      <x:c r="D43" s="12" t="str">
        <x:v>P26-MOD-012</x:v>
      </x:c>
      <x:c r="E43" s="12" t="str">
        <x:v>Mapped</x:v>
      </x:c>
    </x:row>
    <x:row r="44">
      <x:c r="A44" s="12" t="str">
        <x:v>P26-REQ-043</x:v>
      </x:c>
      <x:c r="B44" s="12" t="str">
        <x:v>P26-TST-043</x:v>
      </x:c>
      <x:c r="C44" s="12" t="str">
        <x:v>P25-MOD-019</x:v>
      </x:c>
      <x:c r="D44" s="12" t="str">
        <x:v>P26-MOD-013</x:v>
      </x:c>
      <x:c r="E44" s="12" t="str">
        <x:v>Mapped</x:v>
      </x:c>
    </x:row>
    <x:row r="45">
      <x:c r="A45" s="12" t="str">
        <x:v>P26-REQ-044</x:v>
      </x:c>
      <x:c r="B45" s="12" t="str">
        <x:v>P26-TST-044</x:v>
      </x:c>
      <x:c r="C45" s="12" t="str">
        <x:v>P25-MOD-020</x:v>
      </x:c>
      <x:c r="D45" s="12" t="str">
        <x:v>P26-MOD-014</x:v>
      </x:c>
      <x:c r="E45" s="12" t="str">
        <x:v>Mapped</x:v>
      </x:c>
    </x:row>
    <x:row r="46">
      <x:c r="A46" s="12" t="str">
        <x:v>P26-REQ-045</x:v>
      </x:c>
      <x:c r="B46" s="12" t="str">
        <x:v>P26-TST-045</x:v>
      </x:c>
      <x:c r="C46" s="12" t="str">
        <x:v>P25-MOD-021</x:v>
      </x:c>
      <x:c r="D46" s="12" t="str">
        <x:v>P26-MOD-015</x:v>
      </x:c>
      <x:c r="E46" s="12" t="str">
        <x:v>Mapped</x:v>
      </x:c>
    </x:row>
    <x:row r="47">
      <x:c r="A47" s="12" t="str">
        <x:v>P26-REQ-046</x:v>
      </x:c>
      <x:c r="B47" s="12" t="str">
        <x:v>P26-TST-046</x:v>
      </x:c>
      <x:c r="C47" s="12" t="str">
        <x:v>P25-MOD-022</x:v>
      </x:c>
      <x:c r="D47" s="12" t="str">
        <x:v>P26-MOD-016</x:v>
      </x:c>
      <x:c r="E47" s="12" t="str">
        <x:v>Mapped</x:v>
      </x:c>
    </x:row>
    <x:row r="48">
      <x:c r="A48" s="12" t="str">
        <x:v>P26-REQ-047</x:v>
      </x:c>
      <x:c r="B48" s="12" t="str">
        <x:v>P26-TST-047</x:v>
      </x:c>
      <x:c r="C48" s="12" t="str">
        <x:v>P25-MOD-023</x:v>
      </x:c>
      <x:c r="D48" s="12" t="str">
        <x:v>P26-MOD-017</x:v>
      </x:c>
      <x:c r="E48" s="12" t="str">
        <x:v>Mapped</x:v>
      </x:c>
    </x:row>
    <x:row r="49">
      <x:c r="A49" s="12" t="str">
        <x:v>P26-REQ-048</x:v>
      </x:c>
      <x:c r="B49" s="12" t="str">
        <x:v>P26-TST-048</x:v>
      </x:c>
      <x:c r="C49" s="12" t="str">
        <x:v>P25-MOD-024</x:v>
      </x:c>
      <x:c r="D49" s="12" t="str">
        <x:v>P26-MOD-018</x:v>
      </x:c>
      <x:c r="E49" s="12" t="str">
        <x:v>Mapped</x:v>
      </x:c>
    </x:row>
    <x:row r="50">
      <x:c r="A50" s="12" t="str">
        <x:v>P26-REQ-049</x:v>
      </x:c>
      <x:c r="B50" s="12" t="str">
        <x:v>P26-TST-049</x:v>
      </x:c>
      <x:c r="C50" s="12" t="str">
        <x:v>P25-MOD-001</x:v>
      </x:c>
      <x:c r="D50" s="12" t="str">
        <x:v>P26-MOD-019</x:v>
      </x:c>
      <x:c r="E50" s="12" t="str">
        <x:v>Mapped</x:v>
      </x:c>
    </x:row>
    <x:row r="51">
      <x:c r="A51" s="12" t="str">
        <x:v>P26-REQ-050</x:v>
      </x:c>
      <x:c r="B51" s="12" t="str">
        <x:v>P26-TST-050</x:v>
      </x:c>
      <x:c r="C51" s="12" t="str">
        <x:v>P25-MOD-002</x:v>
      </x:c>
      <x:c r="D51" s="12" t="str">
        <x:v>P26-MOD-020</x:v>
      </x:c>
      <x:c r="E51" s="12" t="str">
        <x:v>Mapped</x:v>
      </x:c>
    </x:row>
    <x:row r="52">
      <x:c r="A52" s="12" t="str">
        <x:v>P26-REQ-051</x:v>
      </x:c>
      <x:c r="B52" s="12" t="str">
        <x:v>P26-TST-051</x:v>
      </x:c>
      <x:c r="C52" s="12" t="str">
        <x:v>P25-MOD-003</x:v>
      </x:c>
      <x:c r="D52" s="12" t="str">
        <x:v>P26-MOD-021</x:v>
      </x:c>
      <x:c r="E52" s="12" t="str">
        <x:v>Mapped</x:v>
      </x:c>
    </x:row>
    <x:row r="53">
      <x:c r="A53" s="12" t="str">
        <x:v>P26-REQ-052</x:v>
      </x:c>
      <x:c r="B53" s="12" t="str">
        <x:v>P26-TST-052</x:v>
      </x:c>
      <x:c r="C53" s="12" t="str">
        <x:v>P25-MOD-004</x:v>
      </x:c>
      <x:c r="D53" s="12" t="str">
        <x:v>P26-MOD-022</x:v>
      </x:c>
      <x:c r="E53" s="12" t="str">
        <x:v>Mapped</x:v>
      </x:c>
    </x:row>
    <x:row r="54">
      <x:c r="A54" s="12" t="str">
        <x:v>P26-REQ-053</x:v>
      </x:c>
      <x:c r="B54" s="12" t="str">
        <x:v>P26-TST-053</x:v>
      </x:c>
      <x:c r="C54" s="12" t="str">
        <x:v>P25-MOD-005</x:v>
      </x:c>
      <x:c r="D54" s="12" t="str">
        <x:v>P26-MOD-023</x:v>
      </x:c>
      <x:c r="E54" s="12" t="str">
        <x:v>Mapped</x:v>
      </x:c>
    </x:row>
    <x:row r="55">
      <x:c r="A55" s="12" t="str">
        <x:v>P26-REQ-054</x:v>
      </x:c>
      <x:c r="B55" s="12" t="str">
        <x:v>P26-TST-054</x:v>
      </x:c>
      <x:c r="C55" s="12" t="str">
        <x:v>P25-MOD-006</x:v>
      </x:c>
      <x:c r="D55" s="12" t="str">
        <x:v>P26-MOD-024</x:v>
      </x:c>
      <x:c r="E55" s="12" t="str">
        <x:v>Mapped</x:v>
      </x:c>
    </x:row>
    <x:row r="56">
      <x:c r="A56" s="12" t="str">
        <x:v>P26-REQ-055</x:v>
      </x:c>
      <x:c r="B56" s="12" t="str">
        <x:v>P26-TST-055</x:v>
      </x:c>
      <x:c r="C56" s="12" t="str">
        <x:v>P25-MOD-007</x:v>
      </x:c>
      <x:c r="D56" s="12" t="str">
        <x:v>P26-MOD-025</x:v>
      </x:c>
      <x:c r="E56" s="12" t="str">
        <x:v>Mapped</x:v>
      </x:c>
    </x:row>
    <x:row r="57">
      <x:c r="A57" s="12" t="str">
        <x:v>P26-REQ-056</x:v>
      </x:c>
      <x:c r="B57" s="12" t="str">
        <x:v>P26-TST-056</x:v>
      </x:c>
      <x:c r="C57" s="12" t="str">
        <x:v>P25-MOD-008</x:v>
      </x:c>
      <x:c r="D57" s="12" t="str">
        <x:v>P26-MOD-026</x:v>
      </x:c>
      <x:c r="E57" s="12" t="str">
        <x:v>Mapped</x:v>
      </x:c>
    </x:row>
    <x:row r="58">
      <x:c r="A58" s="12" t="str">
        <x:v>P26-REQ-057</x:v>
      </x:c>
      <x:c r="B58" s="12" t="str">
        <x:v>P26-TST-057</x:v>
      </x:c>
      <x:c r="C58" s="12" t="str">
        <x:v>P25-MOD-009</x:v>
      </x:c>
      <x:c r="D58" s="12" t="str">
        <x:v>P26-MOD-027</x:v>
      </x:c>
      <x:c r="E58" s="12" t="str">
        <x:v>Mapped</x:v>
      </x:c>
    </x:row>
    <x:row r="59">
      <x:c r="A59" s="12" t="str">
        <x:v>P26-REQ-058</x:v>
      </x:c>
      <x:c r="B59" s="12" t="str">
        <x:v>P26-TST-058</x:v>
      </x:c>
      <x:c r="C59" s="12" t="str">
        <x:v>P25-MOD-010</x:v>
      </x:c>
      <x:c r="D59" s="12" t="str">
        <x:v>P26-MOD-028</x:v>
      </x:c>
      <x:c r="E59" s="12" t="str">
        <x:v>Mapped</x:v>
      </x:c>
    </x:row>
    <x:row r="60">
      <x:c r="A60" s="12" t="str">
        <x:v>P26-REQ-059</x:v>
      </x:c>
      <x:c r="B60" s="12" t="str">
        <x:v>P26-TST-059</x:v>
      </x:c>
      <x:c r="C60" s="12" t="str">
        <x:v>P25-MOD-011</x:v>
      </x:c>
      <x:c r="D60" s="12" t="str">
        <x:v>P26-MOD-029</x:v>
      </x:c>
      <x:c r="E60" s="12" t="str">
        <x:v>Mapped</x:v>
      </x:c>
    </x:row>
    <x:row r="61">
      <x:c r="A61" s="12" t="str">
        <x:v>P26-REQ-060</x:v>
      </x:c>
      <x:c r="B61" s="12" t="str">
        <x:v>P26-TST-060</x:v>
      </x:c>
      <x:c r="C61" s="12" t="str">
        <x:v>P25-MOD-012</x:v>
      </x:c>
      <x:c r="D61" s="12" t="str">
        <x:v>P26-MOD-030</x:v>
      </x:c>
      <x:c r="E61" s="12" t="str">
        <x:v>Mapped</x:v>
      </x:c>
    </x:row>
    <x:row r="62">
      <x:c r="A62" s="12" t="str">
        <x:v>P26-REQ-061</x:v>
      </x:c>
      <x:c r="B62" s="12" t="str">
        <x:v>P26-TST-061</x:v>
      </x:c>
      <x:c r="C62" s="12" t="str">
        <x:v>P25-MOD-013</x:v>
      </x:c>
      <x:c r="D62" s="12" t="str">
        <x:v>P26-MOD-001</x:v>
      </x:c>
      <x:c r="E62" s="12" t="str">
        <x:v>Mapped</x:v>
      </x:c>
    </x:row>
    <x:row r="63">
      <x:c r="A63" s="12" t="str">
        <x:v>P26-REQ-062</x:v>
      </x:c>
      <x:c r="B63" s="12" t="str">
        <x:v>P26-TST-062</x:v>
      </x:c>
      <x:c r="C63" s="12" t="str">
        <x:v>P25-MOD-014</x:v>
      </x:c>
      <x:c r="D63" s="12" t="str">
        <x:v>P26-MOD-002</x:v>
      </x:c>
      <x:c r="E63" s="12" t="str">
        <x:v>Mapped</x:v>
      </x:c>
    </x:row>
    <x:row r="64">
      <x:c r="A64" s="12" t="str">
        <x:v>P26-REQ-063</x:v>
      </x:c>
      <x:c r="B64" s="12" t="str">
        <x:v>P26-TST-063</x:v>
      </x:c>
      <x:c r="C64" s="12" t="str">
        <x:v>P25-MOD-015</x:v>
      </x:c>
      <x:c r="D64" s="12" t="str">
        <x:v>P26-MOD-003</x:v>
      </x:c>
      <x:c r="E64" s="12" t="str">
        <x:v>Mapped</x:v>
      </x:c>
    </x:row>
    <x:row r="65">
      <x:c r="A65" s="12" t="str">
        <x:v>P26-REQ-064</x:v>
      </x:c>
      <x:c r="B65" s="12" t="str">
        <x:v>P26-TST-064</x:v>
      </x:c>
      <x:c r="C65" s="12" t="str">
        <x:v>P25-MOD-016</x:v>
      </x:c>
      <x:c r="D65" s="12" t="str">
        <x:v>P26-MOD-004</x:v>
      </x:c>
      <x:c r="E65" s="12" t="str">
        <x:v>Mapped</x:v>
      </x:c>
    </x:row>
    <x:row r="66">
      <x:c r="A66" s="12" t="str">
        <x:v>P26-REQ-065</x:v>
      </x:c>
      <x:c r="B66" s="12" t="str">
        <x:v>P26-TST-065</x:v>
      </x:c>
      <x:c r="C66" s="12" t="str">
        <x:v>P25-MOD-017</x:v>
      </x:c>
      <x:c r="D66" s="12" t="str">
        <x:v>P26-MOD-005</x:v>
      </x:c>
      <x:c r="E66" s="12" t="str">
        <x:v>Mapped</x:v>
      </x:c>
    </x:row>
    <x:row r="67">
      <x:c r="A67" s="12" t="str">
        <x:v>P26-REQ-066</x:v>
      </x:c>
      <x:c r="B67" s="12" t="str">
        <x:v>P26-TST-066</x:v>
      </x:c>
      <x:c r="C67" s="12" t="str">
        <x:v>P25-MOD-018</x:v>
      </x:c>
      <x:c r="D67" s="12" t="str">
        <x:v>P26-MOD-006</x:v>
      </x:c>
      <x:c r="E67" s="12" t="str">
        <x:v>Mapped</x:v>
      </x:c>
    </x:row>
    <x:row r="68">
      <x:c r="A68" s="12" t="str">
        <x:v>P26-REQ-067</x:v>
      </x:c>
      <x:c r="B68" s="12" t="str">
        <x:v>P26-TST-067</x:v>
      </x:c>
      <x:c r="C68" s="12" t="str">
        <x:v>P25-MOD-019</x:v>
      </x:c>
      <x:c r="D68" s="12" t="str">
        <x:v>P26-MOD-007</x:v>
      </x:c>
      <x:c r="E68" s="12" t="str">
        <x:v>Mapped</x:v>
      </x:c>
    </x:row>
    <x:row r="69">
      <x:c r="A69" s="12" t="str">
        <x:v>P26-REQ-068</x:v>
      </x:c>
      <x:c r="B69" s="12" t="str">
        <x:v>P26-TST-068</x:v>
      </x:c>
      <x:c r="C69" s="12" t="str">
        <x:v>P25-MOD-020</x:v>
      </x:c>
      <x:c r="D69" s="12" t="str">
        <x:v>P26-MOD-008</x:v>
      </x:c>
      <x:c r="E69" s="12" t="str">
        <x:v>Mapped</x:v>
      </x:c>
    </x:row>
    <x:row r="70">
      <x:c r="A70" s="12" t="str">
        <x:v>P26-REQ-069</x:v>
      </x:c>
      <x:c r="B70" s="12" t="str">
        <x:v>P26-TST-069</x:v>
      </x:c>
      <x:c r="C70" s="12" t="str">
        <x:v>P25-MOD-021</x:v>
      </x:c>
      <x:c r="D70" s="12" t="str">
        <x:v>P26-MOD-009</x:v>
      </x:c>
      <x:c r="E70" s="12" t="str">
        <x:v>Mapped</x:v>
      </x:c>
    </x:row>
    <x:row r="71">
      <x:c r="A71" s="12" t="str">
        <x:v>P26-REQ-070</x:v>
      </x:c>
      <x:c r="B71" s="12" t="str">
        <x:v>P26-TST-070</x:v>
      </x:c>
      <x:c r="C71" s="12" t="str">
        <x:v>P25-MOD-022</x:v>
      </x:c>
      <x:c r="D71" s="12" t="str">
        <x:v>P26-MOD-010</x:v>
      </x:c>
      <x:c r="E71" s="12" t="str">
        <x:v>Mapped</x:v>
      </x:c>
    </x:row>
    <x:row r="72">
      <x:c r="A72" s="12" t="str">
        <x:v>P26-REQ-071</x:v>
      </x:c>
      <x:c r="B72" s="12" t="str">
        <x:v>P26-TST-071</x:v>
      </x:c>
      <x:c r="C72" s="12" t="str">
        <x:v>P25-MOD-023</x:v>
      </x:c>
      <x:c r="D72" s="12" t="str">
        <x:v>P26-MOD-011</x:v>
      </x:c>
      <x:c r="E72" s="12" t="str">
        <x:v>Mapped</x:v>
      </x:c>
    </x:row>
    <x:row r="73">
      <x:c r="A73" s="12" t="str">
        <x:v>P26-REQ-072</x:v>
      </x:c>
      <x:c r="B73" s="12" t="str">
        <x:v>P26-TST-072</x:v>
      </x:c>
      <x:c r="C73" s="12" t="str">
        <x:v>P25-MOD-024</x:v>
      </x:c>
      <x:c r="D73" s="12" t="str">
        <x:v>P26-MOD-012</x:v>
      </x:c>
      <x:c r="E73" s="12" t="str">
        <x:v>Mapped</x:v>
      </x:c>
    </x:row>
    <x:row r="74">
      <x:c r="A74" s="12" t="str">
        <x:v>P26-REQ-073</x:v>
      </x:c>
      <x:c r="B74" s="12" t="str">
        <x:v>P26-TST-073</x:v>
      </x:c>
      <x:c r="C74" s="12" t="str">
        <x:v>P25-MOD-001</x:v>
      </x:c>
      <x:c r="D74" s="12" t="str">
        <x:v>P26-MOD-013</x:v>
      </x:c>
      <x:c r="E74" s="12" t="str">
        <x:v>Mapped</x:v>
      </x:c>
    </x:row>
    <x:row r="75">
      <x:c r="A75" s="12" t="str">
        <x:v>P26-REQ-074</x:v>
      </x:c>
      <x:c r="B75" s="12" t="str">
        <x:v>P26-TST-074</x:v>
      </x:c>
      <x:c r="C75" s="12" t="str">
        <x:v>P25-MOD-002</x:v>
      </x:c>
      <x:c r="D75" s="12" t="str">
        <x:v>P26-MOD-014</x:v>
      </x:c>
      <x:c r="E75" s="12" t="str">
        <x:v>Mapped</x:v>
      </x:c>
    </x:row>
    <x:row r="76">
      <x:c r="A76" s="12" t="str">
        <x:v>P26-REQ-075</x:v>
      </x:c>
      <x:c r="B76" s="12" t="str">
        <x:v>P26-TST-075</x:v>
      </x:c>
      <x:c r="C76" s="12" t="str">
        <x:v>P25-MOD-003</x:v>
      </x:c>
      <x:c r="D76" s="12" t="str">
        <x:v>P26-MOD-015</x:v>
      </x:c>
      <x:c r="E76" s="12" t="str">
        <x:v>Mapped</x:v>
      </x:c>
    </x:row>
    <x:row r="77">
      <x:c r="A77" s="12" t="str">
        <x:v>P26-REQ-076</x:v>
      </x:c>
      <x:c r="B77" s="12" t="str">
        <x:v>P26-TST-076</x:v>
      </x:c>
      <x:c r="C77" s="12" t="str">
        <x:v>P25-MOD-004</x:v>
      </x:c>
      <x:c r="D77" s="12" t="str">
        <x:v>P26-MOD-016</x:v>
      </x:c>
      <x:c r="E77" s="12" t="str">
        <x:v>Mapped</x:v>
      </x:c>
    </x:row>
    <x:row r="78">
      <x:c r="A78" s="12" t="str">
        <x:v>P26-REQ-077</x:v>
      </x:c>
      <x:c r="B78" s="12" t="str">
        <x:v>P26-TST-077</x:v>
      </x:c>
      <x:c r="C78" s="12" t="str">
        <x:v>P25-MOD-005</x:v>
      </x:c>
      <x:c r="D78" s="12" t="str">
        <x:v>P26-MOD-017</x:v>
      </x:c>
      <x:c r="E78" s="12" t="str">
        <x:v>Mapped</x:v>
      </x:c>
    </x:row>
    <x:row r="79">
      <x:c r="A79" s="12" t="str">
        <x:v>P26-REQ-078</x:v>
      </x:c>
      <x:c r="B79" s="12" t="str">
        <x:v>P26-TST-078</x:v>
      </x:c>
      <x:c r="C79" s="12" t="str">
        <x:v>P25-MOD-006</x:v>
      </x:c>
      <x:c r="D79" s="12" t="str">
        <x:v>P26-MOD-018</x:v>
      </x:c>
      <x:c r="E79" s="12" t="str">
        <x:v>Mapped</x:v>
      </x:c>
    </x:row>
    <x:row r="80">
      <x:c r="A80" s="12" t="str">
        <x:v>P26-REQ-079</x:v>
      </x:c>
      <x:c r="B80" s="12" t="str">
        <x:v>P26-TST-079</x:v>
      </x:c>
      <x:c r="C80" s="12" t="str">
        <x:v>P25-MOD-007</x:v>
      </x:c>
      <x:c r="D80" s="12" t="str">
        <x:v>P26-MOD-019</x:v>
      </x:c>
      <x:c r="E80" s="12" t="str">
        <x:v>Mapped</x:v>
      </x:c>
    </x:row>
    <x:row r="81">
      <x:c r="A81" s="12" t="str">
        <x:v>P26-REQ-080</x:v>
      </x:c>
      <x:c r="B81" s="12" t="str">
        <x:v>P26-TST-080</x:v>
      </x:c>
      <x:c r="C81" s="12" t="str">
        <x:v>P25-MOD-008</x:v>
      </x:c>
      <x:c r="D81" s="12" t="str">
        <x:v>P26-MOD-020</x:v>
      </x:c>
      <x:c r="E81" s="12" t="str">
        <x:v>Mapped</x:v>
      </x:c>
    </x:row>
    <x:row r="82">
      <x:c r="A82" s="12" t="str">
        <x:v>P26-REQ-081</x:v>
      </x:c>
      <x:c r="B82" s="12" t="str">
        <x:v>P26-TST-081</x:v>
      </x:c>
      <x:c r="C82" s="12" t="str">
        <x:v>P25-MOD-009</x:v>
      </x:c>
      <x:c r="D82" s="12" t="str">
        <x:v>P26-MOD-021</x:v>
      </x:c>
      <x:c r="E82" s="12" t="str">
        <x:v>Mapped</x:v>
      </x:c>
    </x:row>
    <x:row r="83">
      <x:c r="A83" s="12" t="str">
        <x:v>P26-REQ-082</x:v>
      </x:c>
      <x:c r="B83" s="12" t="str">
        <x:v>P26-TST-082</x:v>
      </x:c>
      <x:c r="C83" s="12" t="str">
        <x:v>P25-MOD-010</x:v>
      </x:c>
      <x:c r="D83" s="12" t="str">
        <x:v>P26-MOD-022</x:v>
      </x:c>
      <x:c r="E83" s="12" t="str">
        <x:v>Mapped</x:v>
      </x:c>
    </x:row>
    <x:row r="84">
      <x:c r="A84" s="12" t="str">
        <x:v>P26-REQ-083</x:v>
      </x:c>
      <x:c r="B84" s="12" t="str">
        <x:v>P26-TST-083</x:v>
      </x:c>
      <x:c r="C84" s="12" t="str">
        <x:v>P25-MOD-011</x:v>
      </x:c>
      <x:c r="D84" s="12" t="str">
        <x:v>P26-MOD-023</x:v>
      </x:c>
      <x:c r="E84" s="12" t="str">
        <x:v>Mapped</x:v>
      </x:c>
    </x:row>
    <x:row r="85">
      <x:c r="A85" s="12" t="str">
        <x:v>P26-REQ-084</x:v>
      </x:c>
      <x:c r="B85" s="12" t="str">
        <x:v>P26-TST-084</x:v>
      </x:c>
      <x:c r="C85" s="12" t="str">
        <x:v>P25-MOD-012</x:v>
      </x:c>
      <x:c r="D85" s="12" t="str">
        <x:v>P26-MOD-024</x:v>
      </x:c>
      <x:c r="E85" s="12" t="str">
        <x:v>Mapped</x:v>
      </x:c>
    </x:row>
    <x:row r="86">
      <x:c r="A86" s="12" t="str">
        <x:v>P26-REQ-085</x:v>
      </x:c>
      <x:c r="B86" s="12" t="str">
        <x:v>P26-TST-085</x:v>
      </x:c>
      <x:c r="C86" s="12" t="str">
        <x:v>P25-MOD-013</x:v>
      </x:c>
      <x:c r="D86" s="12" t="str">
        <x:v>P26-MOD-025</x:v>
      </x:c>
      <x:c r="E86" s="12" t="str">
        <x:v>Mapped</x:v>
      </x:c>
    </x:row>
    <x:row r="87">
      <x:c r="A87" s="12" t="str">
        <x:v>P26-REQ-086</x:v>
      </x:c>
      <x:c r="B87" s="12" t="str">
        <x:v>P26-TST-086</x:v>
      </x:c>
      <x:c r="C87" s="12" t="str">
        <x:v>P25-MOD-014</x:v>
      </x:c>
      <x:c r="D87" s="12" t="str">
        <x:v>P26-MOD-026</x:v>
      </x:c>
      <x:c r="E87" s="12" t="str">
        <x:v>Mapped</x:v>
      </x:c>
    </x:row>
    <x:row r="88">
      <x:c r="A88" s="12" t="str">
        <x:v>P26-REQ-087</x:v>
      </x:c>
      <x:c r="B88" s="12" t="str">
        <x:v>P26-TST-087</x:v>
      </x:c>
      <x:c r="C88" s="12" t="str">
        <x:v>P25-MOD-015</x:v>
      </x:c>
      <x:c r="D88" s="12" t="str">
        <x:v>P26-MOD-027</x:v>
      </x:c>
      <x:c r="E88" s="12" t="str">
        <x:v>Mapped</x:v>
      </x:c>
    </x:row>
    <x:row r="89">
      <x:c r="A89" s="12" t="str">
        <x:v>P26-REQ-088</x:v>
      </x:c>
      <x:c r="B89" s="12" t="str">
        <x:v>P26-TST-088</x:v>
      </x:c>
      <x:c r="C89" s="12" t="str">
        <x:v>P25-MOD-016</x:v>
      </x:c>
      <x:c r="D89" s="12" t="str">
        <x:v>P26-MOD-028</x:v>
      </x:c>
      <x:c r="E89" s="12" t="str">
        <x:v>Mapped</x:v>
      </x:c>
    </x:row>
    <x:row r="90">
      <x:c r="A90" s="12" t="str">
        <x:v>P26-REQ-089</x:v>
      </x:c>
      <x:c r="B90" s="12" t="str">
        <x:v>P26-TST-089</x:v>
      </x:c>
      <x:c r="C90" s="12" t="str">
        <x:v>P25-MOD-017</x:v>
      </x:c>
      <x:c r="D90" s="12" t="str">
        <x:v>P26-MOD-029</x:v>
      </x:c>
      <x:c r="E90" s="12" t="str">
        <x:v>Mapped</x:v>
      </x:c>
    </x:row>
    <x:row r="91">
      <x:c r="A91" s="12" t="str">
        <x:v>P26-REQ-090</x:v>
      </x:c>
      <x:c r="B91" s="12" t="str">
        <x:v>P26-TST-090</x:v>
      </x:c>
      <x:c r="C91" s="12" t="str">
        <x:v>P25-MOD-018</x:v>
      </x:c>
      <x:c r="D91" s="12" t="str">
        <x:v>P26-MOD-030</x:v>
      </x:c>
      <x:c r="E91" s="12" t="str">
        <x:v>Mapped</x:v>
      </x:c>
    </x:row>
    <x:row r="92">
      <x:c r="A92" s="12" t="str">
        <x:v>P26-REQ-091</x:v>
      </x:c>
      <x:c r="B92" s="12" t="str">
        <x:v>P26-TST-091</x:v>
      </x:c>
      <x:c r="C92" s="12" t="str">
        <x:v>P25-MOD-019</x:v>
      </x:c>
      <x:c r="D92" s="12" t="str">
        <x:v>P26-MOD-001</x:v>
      </x:c>
      <x:c r="E92" s="12" t="str">
        <x:v>Mapped</x:v>
      </x:c>
    </x:row>
    <x:row r="93">
      <x:c r="A93" s="12" t="str">
        <x:v>P26-REQ-092</x:v>
      </x:c>
      <x:c r="B93" s="12" t="str">
        <x:v>P26-TST-092</x:v>
      </x:c>
      <x:c r="C93" s="12" t="str">
        <x:v>P25-MOD-020</x:v>
      </x:c>
      <x:c r="D93" s="12" t="str">
        <x:v>P26-MOD-002</x:v>
      </x:c>
      <x:c r="E93" s="12" t="str">
        <x:v>Mapped</x:v>
      </x:c>
    </x:row>
    <x:row r="94">
      <x:c r="A94" s="12" t="str">
        <x:v>P26-REQ-093</x:v>
      </x:c>
      <x:c r="B94" s="12" t="str">
        <x:v>P26-TST-093</x:v>
      </x:c>
      <x:c r="C94" s="12" t="str">
        <x:v>P25-MOD-021</x:v>
      </x:c>
      <x:c r="D94" s="12" t="str">
        <x:v>P26-MOD-003</x:v>
      </x:c>
      <x:c r="E94" s="12" t="str">
        <x:v>Mapped</x:v>
      </x:c>
    </x:row>
    <x:row r="95">
      <x:c r="A95" s="12" t="str">
        <x:v>P26-REQ-094</x:v>
      </x:c>
      <x:c r="B95" s="12" t="str">
        <x:v>P26-TST-094</x:v>
      </x:c>
      <x:c r="C95" s="12" t="str">
        <x:v>P25-MOD-022</x:v>
      </x:c>
      <x:c r="D95" s="12" t="str">
        <x:v>P26-MOD-004</x:v>
      </x:c>
      <x:c r="E95" s="12" t="str">
        <x:v>Mapped</x:v>
      </x:c>
    </x:row>
    <x:row r="96">
      <x:c r="A96" s="12" t="str">
        <x:v>P26-REQ-095</x:v>
      </x:c>
      <x:c r="B96" s="12" t="str">
        <x:v>P26-TST-095</x:v>
      </x:c>
      <x:c r="C96" s="12" t="str">
        <x:v>P25-MOD-023</x:v>
      </x:c>
      <x:c r="D96" s="12" t="str">
        <x:v>P26-MOD-005</x:v>
      </x:c>
      <x:c r="E96" s="12" t="str">
        <x:v>Mapped</x:v>
      </x:c>
    </x:row>
    <x:row r="97">
      <x:c r="A97" s="12" t="str">
        <x:v>P26-REQ-096</x:v>
      </x:c>
      <x:c r="B97" s="12" t="str">
        <x:v>P26-TST-096</x:v>
      </x:c>
      <x:c r="C97" s="12" t="str">
        <x:v>P25-MOD-024</x:v>
      </x:c>
      <x:c r="D97" s="12" t="str">
        <x:v>P26-MOD-006</x:v>
      </x:c>
      <x:c r="E97" s="12" t="str">
        <x:v>Mapped</x:v>
      </x:c>
    </x:row>
    <x:row r="98">
      <x:c r="A98" s="12" t="str">
        <x:v>P26-REQ-097</x:v>
      </x:c>
      <x:c r="B98" s="12" t="str">
        <x:v>P26-TST-097</x:v>
      </x:c>
      <x:c r="C98" s="12" t="str">
        <x:v>P25-MOD-001</x:v>
      </x:c>
      <x:c r="D98" s="12" t="str">
        <x:v>P26-MOD-007</x:v>
      </x:c>
      <x:c r="E98" s="12" t="str">
        <x:v>Mapped</x:v>
      </x:c>
    </x:row>
    <x:row r="99">
      <x:c r="A99" s="12" t="str">
        <x:v>P26-REQ-098</x:v>
      </x:c>
      <x:c r="B99" s="12" t="str">
        <x:v>P26-TST-098</x:v>
      </x:c>
      <x:c r="C99" s="12" t="str">
        <x:v>P25-MOD-002</x:v>
      </x:c>
      <x:c r="D99" s="12" t="str">
        <x:v>P26-MOD-008</x:v>
      </x:c>
      <x:c r="E99" s="12" t="str">
        <x:v>Mapped</x:v>
      </x:c>
    </x:row>
    <x:row r="100">
      <x:c r="A100" s="12" t="str">
        <x:v>P26-REQ-099</x:v>
      </x:c>
      <x:c r="B100" s="12" t="str">
        <x:v>P26-TST-099</x:v>
      </x:c>
      <x:c r="C100" s="12" t="str">
        <x:v>P25-MOD-003</x:v>
      </x:c>
      <x:c r="D100" s="12" t="str">
        <x:v>P26-MOD-009</x:v>
      </x:c>
      <x:c r="E100" s="12" t="str">
        <x:v>Mapped</x:v>
      </x:c>
    </x:row>
    <x:row r="101">
      <x:c r="A101" s="12" t="str">
        <x:v>P26-REQ-100</x:v>
      </x:c>
      <x:c r="B101" s="12" t="str">
        <x:v>P26-TST-100</x:v>
      </x:c>
      <x:c r="C101" s="12" t="str">
        <x:v>P25-MOD-004</x:v>
      </x:c>
      <x:c r="D101" s="12" t="str">
        <x:v>P26-MOD-010</x:v>
      </x:c>
      <x:c r="E101" s="12" t="str">
        <x:v>Mapped</x:v>
      </x:c>
    </x:row>
    <x:row r="102">
      <x:c r="A102" s="12" t="str">
        <x:v>P26-REQ-101</x:v>
      </x:c>
      <x:c r="B102" s="12" t="str">
        <x:v>P26-TST-101</x:v>
      </x:c>
      <x:c r="C102" s="12" t="str">
        <x:v>P25-MOD-005</x:v>
      </x:c>
      <x:c r="D102" s="12" t="str">
        <x:v>P26-MOD-011</x:v>
      </x:c>
      <x:c r="E102" s="12" t="str">
        <x:v>Mapped</x:v>
      </x:c>
    </x:row>
    <x:row r="103">
      <x:c r="A103" s="12" t="str">
        <x:v>P26-REQ-102</x:v>
      </x:c>
      <x:c r="B103" s="12" t="str">
        <x:v>P26-TST-102</x:v>
      </x:c>
      <x:c r="C103" s="12" t="str">
        <x:v>P25-MOD-006</x:v>
      </x:c>
      <x:c r="D103" s="12" t="str">
        <x:v>P26-MOD-012</x:v>
      </x:c>
      <x:c r="E103" s="12" t="str">
        <x:v>Mapped</x:v>
      </x:c>
    </x:row>
    <x:row r="104">
      <x:c r="A104" s="12" t="str">
        <x:v>P26-REQ-103</x:v>
      </x:c>
      <x:c r="B104" s="12" t="str">
        <x:v>P26-TST-103</x:v>
      </x:c>
      <x:c r="C104" s="12" t="str">
        <x:v>P25-MOD-007</x:v>
      </x:c>
      <x:c r="D104" s="12" t="str">
        <x:v>P26-MOD-013</x:v>
      </x:c>
      <x:c r="E104" s="12" t="str">
        <x:v>Mapped</x:v>
      </x:c>
    </x:row>
    <x:row r="105">
      <x:c r="A105" s="12" t="str">
        <x:v>P26-REQ-104</x:v>
      </x:c>
      <x:c r="B105" s="12" t="str">
        <x:v>P26-TST-104</x:v>
      </x:c>
      <x:c r="C105" s="12" t="str">
        <x:v>P25-MOD-008</x:v>
      </x:c>
      <x:c r="D105" s="12" t="str">
        <x:v>P26-MOD-014</x:v>
      </x:c>
      <x:c r="E105" s="12" t="str">
        <x:v>Mapped</x:v>
      </x:c>
    </x:row>
    <x:row r="106">
      <x:c r="A106" s="12" t="str">
        <x:v>P26-REQ-105</x:v>
      </x:c>
      <x:c r="B106" s="12" t="str">
        <x:v>P26-TST-105</x:v>
      </x:c>
      <x:c r="C106" s="12" t="str">
        <x:v>P25-MOD-009</x:v>
      </x:c>
      <x:c r="D106" s="12" t="str">
        <x:v>P26-MOD-015</x:v>
      </x:c>
      <x:c r="E106" s="12" t="str">
        <x:v>Mapped</x:v>
      </x:c>
    </x:row>
    <x:row r="107">
      <x:c r="A107" s="12" t="str">
        <x:v>P26-REQ-106</x:v>
      </x:c>
      <x:c r="B107" s="12" t="str">
        <x:v>P26-TST-106</x:v>
      </x:c>
      <x:c r="C107" s="12" t="str">
        <x:v>P25-MOD-010</x:v>
      </x:c>
      <x:c r="D107" s="12" t="str">
        <x:v>P26-MOD-016</x:v>
      </x:c>
      <x:c r="E107" s="12" t="str">
        <x:v>Mapped</x:v>
      </x:c>
    </x:row>
    <x:row r="108">
      <x:c r="A108" s="12" t="str">
        <x:v>P26-REQ-107</x:v>
      </x:c>
      <x:c r="B108" s="12" t="str">
        <x:v>P26-TST-107</x:v>
      </x:c>
      <x:c r="C108" s="12" t="str">
        <x:v>P25-MOD-011</x:v>
      </x:c>
      <x:c r="D108" s="12" t="str">
        <x:v>P26-MOD-017</x:v>
      </x:c>
      <x:c r="E108" s="12" t="str">
        <x:v>Mapped</x:v>
      </x:c>
    </x:row>
    <x:row r="109">
      <x:c r="A109" s="12" t="str">
        <x:v>P26-REQ-108</x:v>
      </x:c>
      <x:c r="B109" s="12" t="str">
        <x:v>P26-TST-108</x:v>
      </x:c>
      <x:c r="C109" s="12" t="str">
        <x:v>P25-MOD-012</x:v>
      </x:c>
      <x:c r="D109" s="12" t="str">
        <x:v>P26-MOD-018</x:v>
      </x:c>
      <x:c r="E109" s="12" t="str">
        <x:v>Mapped</x:v>
      </x:c>
    </x:row>
    <x:row r="110">
      <x:c r="A110" s="12" t="str">
        <x:v>P26-REQ-109</x:v>
      </x:c>
      <x:c r="B110" s="12" t="str">
        <x:v>P26-TST-109</x:v>
      </x:c>
      <x:c r="C110" s="12" t="str">
        <x:v>P25-MOD-013</x:v>
      </x:c>
      <x:c r="D110" s="12" t="str">
        <x:v>P26-MOD-019</x:v>
      </x:c>
      <x:c r="E110" s="12" t="str">
        <x:v>Mapped</x:v>
      </x:c>
    </x:row>
    <x:row r="111">
      <x:c r="A111" s="12" t="str">
        <x:v>P26-REQ-110</x:v>
      </x:c>
      <x:c r="B111" s="12" t="str">
        <x:v>P26-TST-110</x:v>
      </x:c>
      <x:c r="C111" s="12" t="str">
        <x:v>P25-MOD-014</x:v>
      </x:c>
      <x:c r="D111" s="12" t="str">
        <x:v>P26-MOD-020</x:v>
      </x:c>
      <x:c r="E111" s="12" t="str">
        <x:v>Mapped</x:v>
      </x:c>
    </x:row>
    <x:row r="112">
      <x:c r="A112" s="12" t="str">
        <x:v>P26-REQ-111</x:v>
      </x:c>
      <x:c r="B112" s="12" t="str">
        <x:v>P26-TST-111</x:v>
      </x:c>
      <x:c r="C112" s="12" t="str">
        <x:v>P25-MOD-015</x:v>
      </x:c>
      <x:c r="D112" s="12" t="str">
        <x:v>P26-MOD-021</x:v>
      </x:c>
      <x:c r="E112" s="12" t="str">
        <x:v>Mapped</x:v>
      </x:c>
    </x:row>
    <x:row r="113">
      <x:c r="A113" s="12" t="str">
        <x:v>P26-REQ-112</x:v>
      </x:c>
      <x:c r="B113" s="12" t="str">
        <x:v>P26-TST-112</x:v>
      </x:c>
      <x:c r="C113" s="12" t="str">
        <x:v>P25-MOD-016</x:v>
      </x:c>
      <x:c r="D113" s="12" t="str">
        <x:v>P26-MOD-022</x:v>
      </x:c>
      <x:c r="E113" s="12" t="str">
        <x:v>Mapped</x:v>
      </x:c>
    </x:row>
    <x:row r="114">
      <x:c r="A114" s="12" t="str">
        <x:v>P26-REQ-113</x:v>
      </x:c>
      <x:c r="B114" s="12" t="str">
        <x:v>P26-TST-113</x:v>
      </x:c>
      <x:c r="C114" s="12" t="str">
        <x:v>P25-MOD-017</x:v>
      </x:c>
      <x:c r="D114" s="12" t="str">
        <x:v>P26-MOD-023</x:v>
      </x:c>
      <x:c r="E114" s="12" t="str">
        <x:v>Mapped</x:v>
      </x:c>
    </x:row>
    <x:row r="115">
      <x:c r="A115" s="12" t="str">
        <x:v>P26-REQ-114</x:v>
      </x:c>
      <x:c r="B115" s="12" t="str">
        <x:v>P26-TST-114</x:v>
      </x:c>
      <x:c r="C115" s="12" t="str">
        <x:v>P25-MOD-018</x:v>
      </x:c>
      <x:c r="D115" s="12" t="str">
        <x:v>P26-MOD-024</x:v>
      </x:c>
      <x:c r="E115" s="12" t="str">
        <x:v>Mapped</x:v>
      </x:c>
    </x:row>
    <x:row r="116">
      <x:c r="A116" s="12" t="str">
        <x:v>P26-REQ-115</x:v>
      </x:c>
      <x:c r="B116" s="12" t="str">
        <x:v>P26-TST-115</x:v>
      </x:c>
      <x:c r="C116" s="12" t="str">
        <x:v>P25-MOD-019</x:v>
      </x:c>
      <x:c r="D116" s="12" t="str">
        <x:v>P26-MOD-025</x:v>
      </x:c>
      <x:c r="E116" s="12" t="str">
        <x:v>Mapped</x:v>
      </x:c>
    </x:row>
    <x:row r="117">
      <x:c r="A117" s="12" t="str">
        <x:v>P26-REQ-116</x:v>
      </x:c>
      <x:c r="B117" s="12" t="str">
        <x:v>P26-TST-116</x:v>
      </x:c>
      <x:c r="C117" s="12" t="str">
        <x:v>P25-MOD-020</x:v>
      </x:c>
      <x:c r="D117" s="12" t="str">
        <x:v>P26-MOD-026</x:v>
      </x:c>
      <x:c r="E117" s="12" t="str">
        <x:v>Mapped</x:v>
      </x:c>
    </x:row>
    <x:row r="118">
      <x:c r="A118" s="12" t="str">
        <x:v>P26-REQ-117</x:v>
      </x:c>
      <x:c r="B118" s="12" t="str">
        <x:v>P26-TST-117</x:v>
      </x:c>
      <x:c r="C118" s="12" t="str">
        <x:v>P25-MOD-021</x:v>
      </x:c>
      <x:c r="D118" s="12" t="str">
        <x:v>P26-MOD-027</x:v>
      </x:c>
      <x:c r="E118" s="12" t="str">
        <x:v>Mapped</x:v>
      </x:c>
    </x:row>
    <x:row r="119">
      <x:c r="A119" s="12" t="str">
        <x:v>P26-REQ-118</x:v>
      </x:c>
      <x:c r="B119" s="12" t="str">
        <x:v>P26-TST-118</x:v>
      </x:c>
      <x:c r="C119" s="12" t="str">
        <x:v>P25-MOD-022</x:v>
      </x:c>
      <x:c r="D119" s="12" t="str">
        <x:v>P26-MOD-028</x:v>
      </x:c>
      <x:c r="E119" s="12" t="str">
        <x:v>Mapped</x:v>
      </x:c>
    </x:row>
    <x:row r="120">
      <x:c r="A120" s="12" t="str">
        <x:v>P26-REQ-119</x:v>
      </x:c>
      <x:c r="B120" s="12" t="str">
        <x:v>P26-TST-119</x:v>
      </x:c>
      <x:c r="C120" s="12" t="str">
        <x:v>P25-MOD-023</x:v>
      </x:c>
      <x:c r="D120" s="12" t="str">
        <x:v>P26-MOD-029</x:v>
      </x:c>
      <x:c r="E120" s="12" t="str">
        <x:v>Mapped</x:v>
      </x:c>
    </x:row>
    <x:row r="121">
      <x:c r="A121" s="12" t="str">
        <x:v>P26-REQ-120</x:v>
      </x:c>
      <x:c r="B121" s="12" t="str">
        <x:v>P26-TST-120</x:v>
      </x:c>
      <x:c r="C121" s="12" t="str">
        <x:v>P25-MOD-024</x:v>
      </x:c>
      <x:c r="D121" s="12" t="str">
        <x:v>P26-MOD-030</x:v>
      </x:c>
      <x:c r="E121" s="12" t="str">
        <x:v>Mapped</x:v>
      </x:c>
    </x:row>
    <x:row r="122">
      <x:c r="A122" s="12" t="str">
        <x:v>P26-REQ-121</x:v>
      </x:c>
      <x:c r="B122" s="12" t="str">
        <x:v>P26-TST-121</x:v>
      </x:c>
      <x:c r="C122" s="12" t="str">
        <x:v>P25-MOD-001</x:v>
      </x:c>
      <x:c r="D122" s="12" t="str">
        <x:v>P26-MOD-001</x:v>
      </x:c>
      <x:c r="E122" s="12" t="str">
        <x:v>Mapped</x:v>
      </x:c>
    </x:row>
    <x:row r="123">
      <x:c r="A123" s="12" t="str">
        <x:v>P26-REQ-122</x:v>
      </x:c>
      <x:c r="B123" s="12" t="str">
        <x:v>P26-TST-122</x:v>
      </x:c>
      <x:c r="C123" s="12" t="str">
        <x:v>P25-MOD-002</x:v>
      </x:c>
      <x:c r="D123" s="12" t="str">
        <x:v>P26-MOD-002</x:v>
      </x:c>
      <x:c r="E123" s="12" t="str">
        <x:v>Mapped</x:v>
      </x:c>
    </x:row>
    <x:row r="124">
      <x:c r="A124" s="12" t="str">
        <x:v>P26-REQ-123</x:v>
      </x:c>
      <x:c r="B124" s="12" t="str">
        <x:v>P26-TST-123</x:v>
      </x:c>
      <x:c r="C124" s="12" t="str">
        <x:v>P25-MOD-003</x:v>
      </x:c>
      <x:c r="D124" s="12" t="str">
        <x:v>P26-MOD-003</x:v>
      </x:c>
      <x:c r="E124" s="12" t="str">
        <x:v>Mapped</x:v>
      </x:c>
    </x:row>
    <x:row r="125">
      <x:c r="A125" s="12" t="str">
        <x:v>P26-REQ-124</x:v>
      </x:c>
      <x:c r="B125" s="12" t="str">
        <x:v>P26-TST-124</x:v>
      </x:c>
      <x:c r="C125" s="12" t="str">
        <x:v>P25-MOD-004</x:v>
      </x:c>
      <x:c r="D125" s="12" t="str">
        <x:v>P26-MOD-004</x:v>
      </x:c>
      <x:c r="E125" s="12" t="str">
        <x:v>Mapped</x:v>
      </x:c>
    </x:row>
    <x:row r="126">
      <x:c r="A126" s="12" t="str">
        <x:v>P26-REQ-125</x:v>
      </x:c>
      <x:c r="B126" s="12" t="str">
        <x:v>P26-TST-125</x:v>
      </x:c>
      <x:c r="C126" s="12" t="str">
        <x:v>P25-MOD-005</x:v>
      </x:c>
      <x:c r="D126" s="12" t="str">
        <x:v>P26-MOD-005</x:v>
      </x:c>
      <x:c r="E126" s="12" t="str">
        <x:v>Mapped</x:v>
      </x:c>
    </x:row>
    <x:row r="127">
      <x:c r="A127" s="12" t="str">
        <x:v>P26-REQ-126</x:v>
      </x:c>
      <x:c r="B127" s="12" t="str">
        <x:v>P26-TST-126</x:v>
      </x:c>
      <x:c r="C127" s="12" t="str">
        <x:v>P25-MOD-006</x:v>
      </x:c>
      <x:c r="D127" s="12" t="str">
        <x:v>P26-MOD-006</x:v>
      </x:c>
      <x:c r="E127" s="12" t="str">
        <x:v>Mapped</x:v>
      </x:c>
    </x:row>
    <x:row r="128">
      <x:c r="A128" s="12" t="str">
        <x:v>P26-REQ-127</x:v>
      </x:c>
      <x:c r="B128" s="12" t="str">
        <x:v>P26-TST-127</x:v>
      </x:c>
      <x:c r="C128" s="12" t="str">
        <x:v>P25-MOD-007</x:v>
      </x:c>
      <x:c r="D128" s="12" t="str">
        <x:v>P26-MOD-007</x:v>
      </x:c>
      <x:c r="E128" s="12" t="str">
        <x:v>Mapped</x:v>
      </x:c>
    </x:row>
    <x:row r="129">
      <x:c r="A129" s="12" t="str">
        <x:v>P26-REQ-128</x:v>
      </x:c>
      <x:c r="B129" s="12" t="str">
        <x:v>P26-TST-128</x:v>
      </x:c>
      <x:c r="C129" s="12" t="str">
        <x:v>P25-MOD-008</x:v>
      </x:c>
      <x:c r="D129" s="12" t="str">
        <x:v>P26-MOD-008</x:v>
      </x:c>
      <x:c r="E129" s="12" t="str">
        <x:v>Mapped</x:v>
      </x:c>
    </x:row>
    <x:row r="130">
      <x:c r="A130" s="12" t="str">
        <x:v>P26-REQ-129</x:v>
      </x:c>
      <x:c r="B130" s="12" t="str">
        <x:v>P26-TST-129</x:v>
      </x:c>
      <x:c r="C130" s="12" t="str">
        <x:v>P25-MOD-009</x:v>
      </x:c>
      <x:c r="D130" s="12" t="str">
        <x:v>P26-MOD-009</x:v>
      </x:c>
      <x:c r="E130" s="12" t="str">
        <x:v>Mapped</x:v>
      </x:c>
    </x:row>
    <x:row r="131">
      <x:c r="A131" s="12" t="str">
        <x:v>P26-REQ-130</x:v>
      </x:c>
      <x:c r="B131" s="12" t="str">
        <x:v>P26-TST-130</x:v>
      </x:c>
      <x:c r="C131" s="12" t="str">
        <x:v>P25-MOD-010</x:v>
      </x:c>
      <x:c r="D131" s="12" t="str">
        <x:v>P26-MOD-010</x:v>
      </x:c>
      <x:c r="E131" s="12" t="str">
        <x:v>Mapped</x:v>
      </x:c>
    </x:row>
    <x:row r="132">
      <x:c r="A132" s="12" t="str">
        <x:v>P26-REQ-131</x:v>
      </x:c>
      <x:c r="B132" s="12" t="str">
        <x:v>P26-TST-131</x:v>
      </x:c>
      <x:c r="C132" s="12" t="str">
        <x:v>P25-MOD-011</x:v>
      </x:c>
      <x:c r="D132" s="12" t="str">
        <x:v>P26-MOD-011</x:v>
      </x:c>
      <x:c r="E132" s="12" t="str">
        <x:v>Mapped</x:v>
      </x:c>
    </x:row>
    <x:row r="133">
      <x:c r="A133" s="12" t="str">
        <x:v>P26-REQ-132</x:v>
      </x:c>
      <x:c r="B133" s="12" t="str">
        <x:v>P26-TST-132</x:v>
      </x:c>
      <x:c r="C133" s="12" t="str">
        <x:v>P25-MOD-012</x:v>
      </x:c>
      <x:c r="D133" s="12" t="str">
        <x:v>P26-MOD-012</x:v>
      </x:c>
      <x:c r="E133" s="12" t="str">
        <x:v>Mapped</x:v>
      </x:c>
    </x:row>
    <x:row r="134">
      <x:c r="A134" s="12" t="str">
        <x:v>P26-REQ-133</x:v>
      </x:c>
      <x:c r="B134" s="12" t="str">
        <x:v>P26-TST-133</x:v>
      </x:c>
      <x:c r="C134" s="12" t="str">
        <x:v>P25-MOD-013</x:v>
      </x:c>
      <x:c r="D134" s="12" t="str">
        <x:v>P26-MOD-013</x:v>
      </x:c>
      <x:c r="E134" s="12" t="str">
        <x:v>Mapped</x:v>
      </x:c>
    </x:row>
    <x:row r="135">
      <x:c r="A135" s="12" t="str">
        <x:v>P26-REQ-134</x:v>
      </x:c>
      <x:c r="B135" s="12" t="str">
        <x:v>P26-TST-134</x:v>
      </x:c>
      <x:c r="C135" s="12" t="str">
        <x:v>P25-MOD-014</x:v>
      </x:c>
      <x:c r="D135" s="12" t="str">
        <x:v>P26-MOD-014</x:v>
      </x:c>
      <x:c r="E135" s="12" t="str">
        <x:v>Mapped</x:v>
      </x:c>
    </x:row>
    <x:row r="136">
      <x:c r="A136" s="12" t="str">
        <x:v>P26-REQ-135</x:v>
      </x:c>
      <x:c r="B136" s="12" t="str">
        <x:v>P26-TST-135</x:v>
      </x:c>
      <x:c r="C136" s="12" t="str">
        <x:v>P25-MOD-015</x:v>
      </x:c>
      <x:c r="D136" s="12" t="str">
        <x:v>P26-MOD-015</x:v>
      </x:c>
      <x:c r="E136" s="12" t="str">
        <x:v>Mapped</x:v>
      </x:c>
    </x:row>
    <x:row r="137">
      <x:c r="A137" s="12" t="str">
        <x:v>P26-REQ-136</x:v>
      </x:c>
      <x:c r="B137" s="12" t="str">
        <x:v>P26-TST-136</x:v>
      </x:c>
      <x:c r="C137" s="12" t="str">
        <x:v>P25-MOD-016</x:v>
      </x:c>
      <x:c r="D137" s="12" t="str">
        <x:v>P26-MOD-016</x:v>
      </x:c>
      <x:c r="E137" s="12" t="str">
        <x:v>Mapped</x:v>
      </x:c>
    </x:row>
    <x:row r="138">
      <x:c r="A138" s="12" t="str">
        <x:v>P26-REQ-137</x:v>
      </x:c>
      <x:c r="B138" s="12" t="str">
        <x:v>P26-TST-137</x:v>
      </x:c>
      <x:c r="C138" s="12" t="str">
        <x:v>P25-MOD-017</x:v>
      </x:c>
      <x:c r="D138" s="12" t="str">
        <x:v>P26-MOD-017</x:v>
      </x:c>
      <x:c r="E138" s="12" t="str">
        <x:v>Mapped</x:v>
      </x:c>
    </x:row>
    <x:row r="139">
      <x:c r="A139" s="12" t="str">
        <x:v>P26-REQ-138</x:v>
      </x:c>
      <x:c r="B139" s="12" t="str">
        <x:v>P26-TST-138</x:v>
      </x:c>
      <x:c r="C139" s="12" t="str">
        <x:v>P25-MOD-018</x:v>
      </x:c>
      <x:c r="D139" s="12" t="str">
        <x:v>P26-MOD-018</x:v>
      </x:c>
      <x:c r="E139" s="12" t="str">
        <x:v>Mapped</x:v>
      </x:c>
    </x:row>
    <x:row r="140">
      <x:c r="A140" s="12" t="str">
        <x:v>P26-REQ-139</x:v>
      </x:c>
      <x:c r="B140" s="12" t="str">
        <x:v>P26-TST-139</x:v>
      </x:c>
      <x:c r="C140" s="12" t="str">
        <x:v>P25-MOD-019</x:v>
      </x:c>
      <x:c r="D140" s="12" t="str">
        <x:v>P26-MOD-019</x:v>
      </x:c>
      <x:c r="E140" s="12" t="str">
        <x:v>Mapped</x:v>
      </x:c>
    </x:row>
    <x:row r="141">
      <x:c r="A141" s="12" t="str">
        <x:v>P26-REQ-140</x:v>
      </x:c>
      <x:c r="B141" s="12" t="str">
        <x:v>P26-TST-140</x:v>
      </x:c>
      <x:c r="C141" s="12" t="str">
        <x:v>P25-MOD-020</x:v>
      </x:c>
      <x:c r="D141" s="12" t="str">
        <x:v>P26-MOD-020</x:v>
      </x:c>
      <x:c r="E141" s="12" t="str">
        <x:v>Mapped</x:v>
      </x:c>
    </x:row>
    <x:row r="142">
      <x:c r="A142" s="12" t="str">
        <x:v>P26-REQ-141</x:v>
      </x:c>
      <x:c r="B142" s="12" t="str">
        <x:v>P26-TST-141</x:v>
      </x:c>
      <x:c r="C142" s="12" t="str">
        <x:v>P25-MOD-021</x:v>
      </x:c>
      <x:c r="D142" s="12" t="str">
        <x:v>P26-MOD-021</x:v>
      </x:c>
      <x:c r="E142" s="12" t="str">
        <x:v>Mapped</x:v>
      </x:c>
    </x:row>
    <x:row r="143">
      <x:c r="A143" s="12" t="str">
        <x:v>P26-REQ-142</x:v>
      </x:c>
      <x:c r="B143" s="12" t="str">
        <x:v>P26-TST-142</x:v>
      </x:c>
      <x:c r="C143" s="12" t="str">
        <x:v>P25-MOD-022</x:v>
      </x:c>
      <x:c r="D143" s="12" t="str">
        <x:v>P26-MOD-022</x:v>
      </x:c>
      <x:c r="E143" s="12" t="str">
        <x:v>Mapped</x:v>
      </x:c>
    </x:row>
    <x:row r="144">
      <x:c r="A144" s="12" t="str">
        <x:v>P26-REQ-143</x:v>
      </x:c>
      <x:c r="B144" s="12" t="str">
        <x:v>P26-TST-143</x:v>
      </x:c>
      <x:c r="C144" s="12" t="str">
        <x:v>P25-MOD-023</x:v>
      </x:c>
      <x:c r="D144" s="12" t="str">
        <x:v>P26-MOD-023</x:v>
      </x:c>
      <x:c r="E144" s="12" t="str">
        <x:v>Mapped</x:v>
      </x:c>
    </x:row>
    <x:row r="145">
      <x:c r="A145" s="12" t="str">
        <x:v>P26-REQ-144</x:v>
      </x:c>
      <x:c r="B145" s="12" t="str">
        <x:v>P26-TST-144</x:v>
      </x:c>
      <x:c r="C145" s="12" t="str">
        <x:v>P25-MOD-024</x:v>
      </x:c>
      <x:c r="D145" s="12" t="str">
        <x:v>P26-MOD-024</x:v>
      </x:c>
      <x:c r="E145" s="12" t="str">
        <x:v>Mapped</x:v>
      </x:c>
    </x:row>
    <x:row r="146">
      <x:c r="A146" s="12" t="str">
        <x:v>P26-REQ-145</x:v>
      </x:c>
      <x:c r="B146" s="12" t="str">
        <x:v>P26-TST-145</x:v>
      </x:c>
      <x:c r="C146" s="12" t="str">
        <x:v>P25-MOD-001</x:v>
      </x:c>
      <x:c r="D146" s="12" t="str">
        <x:v>P26-MOD-025</x:v>
      </x:c>
      <x:c r="E146" s="12" t="str">
        <x:v>Mapped</x:v>
      </x:c>
    </x:row>
    <x:row r="147">
      <x:c r="A147" s="12" t="str">
        <x:v>P26-REQ-146</x:v>
      </x:c>
      <x:c r="B147" s="12" t="str">
        <x:v>P26-TST-146</x:v>
      </x:c>
      <x:c r="C147" s="12" t="str">
        <x:v>P25-MOD-002</x:v>
      </x:c>
      <x:c r="D147" s="12" t="str">
        <x:v>P26-MOD-026</x:v>
      </x:c>
      <x:c r="E147" s="12" t="str">
        <x:v>Mapped</x:v>
      </x:c>
    </x:row>
    <x:row r="148">
      <x:c r="A148" s="12" t="str">
        <x:v>P26-REQ-147</x:v>
      </x:c>
      <x:c r="B148" s="12" t="str">
        <x:v>P26-TST-147</x:v>
      </x:c>
      <x:c r="C148" s="12" t="str">
        <x:v>P25-MOD-003</x:v>
      </x:c>
      <x:c r="D148" s="12" t="str">
        <x:v>P26-MOD-027</x:v>
      </x:c>
      <x:c r="E148" s="12" t="str">
        <x:v>Mapped</x:v>
      </x:c>
    </x:row>
    <x:row r="149">
      <x:c r="A149" s="12" t="str">
        <x:v>P26-REQ-148</x:v>
      </x:c>
      <x:c r="B149" s="12" t="str">
        <x:v>P26-TST-148</x:v>
      </x:c>
      <x:c r="C149" s="12" t="str">
        <x:v>P25-MOD-004</x:v>
      </x:c>
      <x:c r="D149" s="12" t="str">
        <x:v>P26-MOD-028</x:v>
      </x:c>
      <x:c r="E149" s="12" t="str">
        <x:v>Mapped</x:v>
      </x:c>
    </x:row>
    <x:row r="150">
      <x:c r="A150" s="12" t="str">
        <x:v>P26-REQ-149</x:v>
      </x:c>
      <x:c r="B150" s="12" t="str">
        <x:v>P26-TST-149</x:v>
      </x:c>
      <x:c r="C150" s="12" t="str">
        <x:v>P25-MOD-005</x:v>
      </x:c>
      <x:c r="D150" s="12" t="str">
        <x:v>P26-MOD-029</x:v>
      </x:c>
      <x:c r="E150" s="12" t="str">
        <x:v>Mapped</x:v>
      </x:c>
    </x:row>
    <x:row r="151">
      <x:c r="A151" s="12" t="str">
        <x:v>P26-REQ-150</x:v>
      </x:c>
      <x:c r="B151" s="12" t="str">
        <x:v>P26-TST-150</x:v>
      </x:c>
      <x:c r="C151" s="12" t="str">
        <x:v>P25-MOD-006</x:v>
      </x:c>
      <x:c r="D151" s="12" t="str">
        <x:v>P26-MOD-030</x:v>
      </x:c>
      <x:c r="E151" s="12" t="str">
        <x:v>Mapped</x:v>
      </x:c>
    </x:row>
    <x:row r="152">
      <x:c r="A152" s="12" t="str">
        <x:v>P26-REQ-151</x:v>
      </x:c>
      <x:c r="B152" s="12" t="str">
        <x:v>P26-TST-151</x:v>
      </x:c>
      <x:c r="C152" s="12" t="str">
        <x:v>P25-MOD-007</x:v>
      </x:c>
      <x:c r="D152" s="12" t="str">
        <x:v>P26-MOD-001</x:v>
      </x:c>
      <x:c r="E152" s="12" t="str">
        <x:v>Mapped</x:v>
      </x:c>
    </x:row>
    <x:row r="153">
      <x:c r="A153" s="12" t="str">
        <x:v>P26-REQ-152</x:v>
      </x:c>
      <x:c r="B153" s="12" t="str">
        <x:v>P26-TST-152</x:v>
      </x:c>
      <x:c r="C153" s="12" t="str">
        <x:v>P25-MOD-008</x:v>
      </x:c>
      <x:c r="D153" s="12" t="str">
        <x:v>P26-MOD-002</x:v>
      </x:c>
      <x:c r="E153" s="12" t="str">
        <x:v>Mapped</x:v>
      </x:c>
    </x:row>
    <x:row r="154">
      <x:c r="A154" s="12" t="str">
        <x:v>P26-REQ-153</x:v>
      </x:c>
      <x:c r="B154" s="12" t="str">
        <x:v>P26-TST-153</x:v>
      </x:c>
      <x:c r="C154" s="12" t="str">
        <x:v>P25-MOD-009</x:v>
      </x:c>
      <x:c r="D154" s="12" t="str">
        <x:v>P26-MOD-003</x:v>
      </x:c>
      <x:c r="E154" s="12" t="str">
        <x:v>Mapped</x:v>
      </x:c>
    </x:row>
    <x:row r="155">
      <x:c r="A155" s="12" t="str">
        <x:v>P26-REQ-154</x:v>
      </x:c>
      <x:c r="B155" s="12" t="str">
        <x:v>P26-TST-154</x:v>
      </x:c>
      <x:c r="C155" s="12" t="str">
        <x:v>P25-MOD-010</x:v>
      </x:c>
      <x:c r="D155" s="12" t="str">
        <x:v>P26-MOD-004</x:v>
      </x:c>
      <x:c r="E155" s="12" t="str">
        <x:v>Mapped</x:v>
      </x:c>
    </x:row>
    <x:row r="156">
      <x:c r="A156" s="12" t="str">
        <x:v>P26-REQ-155</x:v>
      </x:c>
      <x:c r="B156" s="12" t="str">
        <x:v>P26-TST-155</x:v>
      </x:c>
      <x:c r="C156" s="12" t="str">
        <x:v>P25-MOD-011</x:v>
      </x:c>
      <x:c r="D156" s="12" t="str">
        <x:v>P26-MOD-005</x:v>
      </x:c>
      <x:c r="E156" s="12" t="str">
        <x:v>Mapped</x:v>
      </x:c>
    </x:row>
    <x:row r="157">
      <x:c r="A157" s="12" t="str">
        <x:v>P26-REQ-156</x:v>
      </x:c>
      <x:c r="B157" s="12" t="str">
        <x:v>P26-TST-156</x:v>
      </x:c>
      <x:c r="C157" s="12" t="str">
        <x:v>P25-MOD-012</x:v>
      </x:c>
      <x:c r="D157" s="12" t="str">
        <x:v>P26-MOD-006</x:v>
      </x:c>
      <x:c r="E157" s="12" t="str">
        <x:v>Mapped</x:v>
      </x:c>
    </x:row>
    <x:row r="158">
      <x:c r="A158" s="12" t="str">
        <x:v>P26-REQ-157</x:v>
      </x:c>
      <x:c r="B158" s="12" t="str">
        <x:v>P26-TST-157</x:v>
      </x:c>
      <x:c r="C158" s="12" t="str">
        <x:v>P25-MOD-013</x:v>
      </x:c>
      <x:c r="D158" s="12" t="str">
        <x:v>P26-MOD-007</x:v>
      </x:c>
      <x:c r="E158" s="12" t="str">
        <x:v>Mapped</x:v>
      </x:c>
    </x:row>
    <x:row r="159">
      <x:c r="A159" s="12" t="str">
        <x:v>P26-REQ-158</x:v>
      </x:c>
      <x:c r="B159" s="12" t="str">
        <x:v>P26-TST-158</x:v>
      </x:c>
      <x:c r="C159" s="12" t="str">
        <x:v>P25-MOD-014</x:v>
      </x:c>
      <x:c r="D159" s="12" t="str">
        <x:v>P26-MOD-008</x:v>
      </x:c>
      <x:c r="E159" s="12" t="str">
        <x:v>Mapped</x:v>
      </x:c>
    </x:row>
    <x:row r="160">
      <x:c r="A160" s="12" t="str">
        <x:v>P26-REQ-159</x:v>
      </x:c>
      <x:c r="B160" s="12" t="str">
        <x:v>P26-TST-159</x:v>
      </x:c>
      <x:c r="C160" s="12" t="str">
        <x:v>P25-MOD-015</x:v>
      </x:c>
      <x:c r="D160" s="12" t="str">
        <x:v>P26-MOD-009</x:v>
      </x:c>
      <x:c r="E160" s="12" t="str">
        <x:v>Mapped</x:v>
      </x:c>
    </x:row>
    <x:row r="161">
      <x:c r="A161" s="12" t="str">
        <x:v>P26-REQ-160</x:v>
      </x:c>
      <x:c r="B161" s="12" t="str">
        <x:v>P26-TST-160</x:v>
      </x:c>
      <x:c r="C161" s="12" t="str">
        <x:v>P25-MOD-016</x:v>
      </x:c>
      <x:c r="D161" s="12" t="str">
        <x:v>P26-MOD-010</x:v>
      </x:c>
      <x:c r="E161" s="12" t="str">
        <x:v>Mapped</x:v>
      </x:c>
    </x:row>
    <x:row r="162">
      <x:c r="A162" s="12" t="str">
        <x:v>P26-REQ-161</x:v>
      </x:c>
      <x:c r="B162" s="12" t="str">
        <x:v>P26-TST-161</x:v>
      </x:c>
      <x:c r="C162" s="12" t="str">
        <x:v>P25-MOD-017</x:v>
      </x:c>
      <x:c r="D162" s="12" t="str">
        <x:v>P26-MOD-011</x:v>
      </x:c>
      <x:c r="E162" s="12" t="str">
        <x:v>Mapped</x:v>
      </x:c>
    </x:row>
    <x:row r="163">
      <x:c r="A163" s="12" t="str">
        <x:v>P26-REQ-162</x:v>
      </x:c>
      <x:c r="B163" s="12" t="str">
        <x:v>P26-TST-162</x:v>
      </x:c>
      <x:c r="C163" s="12" t="str">
        <x:v>P25-MOD-018</x:v>
      </x:c>
      <x:c r="D163" s="12" t="str">
        <x:v>P26-MOD-012</x:v>
      </x:c>
      <x:c r="E163" s="12" t="str">
        <x:v>Mapped</x:v>
      </x:c>
    </x:row>
    <x:row r="164">
      <x:c r="A164" s="12" t="str">
        <x:v>P26-REQ-163</x:v>
      </x:c>
      <x:c r="B164" s="12" t="str">
        <x:v>P26-TST-163</x:v>
      </x:c>
      <x:c r="C164" s="12" t="str">
        <x:v>P25-MOD-019</x:v>
      </x:c>
      <x:c r="D164" s="12" t="str">
        <x:v>P26-MOD-013</x:v>
      </x:c>
      <x:c r="E164" s="12" t="str">
        <x:v>Mapped</x:v>
      </x:c>
    </x:row>
    <x:row r="165">
      <x:c r="A165" s="12" t="str">
        <x:v>P26-REQ-164</x:v>
      </x:c>
      <x:c r="B165" s="12" t="str">
        <x:v>P26-TST-164</x:v>
      </x:c>
      <x:c r="C165" s="12" t="str">
        <x:v>P25-MOD-020</x:v>
      </x:c>
      <x:c r="D165" s="12" t="str">
        <x:v>P26-MOD-014</x:v>
      </x:c>
      <x:c r="E165" s="12" t="str">
        <x:v>Mapped</x:v>
      </x:c>
    </x:row>
    <x:row r="166">
      <x:c r="A166" s="12" t="str">
        <x:v>P26-REQ-165</x:v>
      </x:c>
      <x:c r="B166" s="12" t="str">
        <x:v>P26-TST-165</x:v>
      </x:c>
      <x:c r="C166" s="12" t="str">
        <x:v>P25-MOD-021</x:v>
      </x:c>
      <x:c r="D166" s="12" t="str">
        <x:v>P26-MOD-015</x:v>
      </x:c>
      <x:c r="E166" s="12" t="str">
        <x:v>Mapped</x:v>
      </x:c>
    </x:row>
    <x:row r="167">
      <x:c r="A167" s="12" t="str">
        <x:v>P26-REQ-166</x:v>
      </x:c>
      <x:c r="B167" s="12" t="str">
        <x:v>P26-TST-166</x:v>
      </x:c>
      <x:c r="C167" s="12" t="str">
        <x:v>P25-MOD-022</x:v>
      </x:c>
      <x:c r="D167" s="12" t="str">
        <x:v>P26-MOD-016</x:v>
      </x:c>
      <x:c r="E167" s="12" t="str">
        <x:v>Mapped</x:v>
      </x:c>
    </x:row>
    <x:row r="168">
      <x:c r="A168" s="12" t="str">
        <x:v>P26-REQ-167</x:v>
      </x:c>
      <x:c r="B168" s="12" t="str">
        <x:v>P26-TST-167</x:v>
      </x:c>
      <x:c r="C168" s="12" t="str">
        <x:v>P25-MOD-023</x:v>
      </x:c>
      <x:c r="D168" s="12" t="str">
        <x:v>P26-MOD-017</x:v>
      </x:c>
      <x:c r="E168" s="12" t="str">
        <x:v>Mapped</x:v>
      </x:c>
    </x:row>
    <x:row r="169">
      <x:c r="A169" s="12" t="str">
        <x:v>P26-REQ-168</x:v>
      </x:c>
      <x:c r="B169" s="12" t="str">
        <x:v>P26-TST-168</x:v>
      </x:c>
      <x:c r="C169" s="12" t="str">
        <x:v>P25-MOD-024</x:v>
      </x:c>
      <x:c r="D169" s="12" t="str">
        <x:v>P26-MOD-018</x:v>
      </x:c>
      <x:c r="E169" s="12" t="str">
        <x:v>Mapped</x:v>
      </x:c>
    </x:row>
    <x:row r="170">
      <x:c r="A170" s="12" t="str">
        <x:v>P26-REQ-169</x:v>
      </x:c>
      <x:c r="B170" s="12" t="str">
        <x:v>P26-TST-169</x:v>
      </x:c>
      <x:c r="C170" s="12" t="str">
        <x:v>P25-MOD-001</x:v>
      </x:c>
      <x:c r="D170" s="12" t="str">
        <x:v>P26-MOD-019</x:v>
      </x:c>
      <x:c r="E170" s="12" t="str">
        <x:v>Mapped</x:v>
      </x:c>
    </x:row>
    <x:row r="171">
      <x:c r="A171" s="12" t="str">
        <x:v>P26-REQ-170</x:v>
      </x:c>
      <x:c r="B171" s="12" t="str">
        <x:v>P26-TST-170</x:v>
      </x:c>
      <x:c r="C171" s="12" t="str">
        <x:v>P25-MOD-002</x:v>
      </x:c>
      <x:c r="D171" s="12" t="str">
        <x:v>P26-MOD-020</x:v>
      </x:c>
      <x:c r="E171" s="12" t="str">
        <x:v>Mapped</x:v>
      </x:c>
    </x:row>
    <x:row r="172">
      <x:c r="A172" s="12" t="str">
        <x:v>P26-REQ-171</x:v>
      </x:c>
      <x:c r="B172" s="12" t="str">
        <x:v>P26-TST-171</x:v>
      </x:c>
      <x:c r="C172" s="12" t="str">
        <x:v>P25-MOD-003</x:v>
      </x:c>
      <x:c r="D172" s="12" t="str">
        <x:v>P26-MOD-021</x:v>
      </x:c>
      <x:c r="E172" s="12" t="str">
        <x:v>Mapped</x:v>
      </x:c>
    </x:row>
    <x:row r="173">
      <x:c r="A173" s="12" t="str">
        <x:v>P26-REQ-172</x:v>
      </x:c>
      <x:c r="B173" s="12" t="str">
        <x:v>P26-TST-172</x:v>
      </x:c>
      <x:c r="C173" s="12" t="str">
        <x:v>P25-MOD-004</x:v>
      </x:c>
      <x:c r="D173" s="12" t="str">
        <x:v>P26-MOD-022</x:v>
      </x:c>
      <x:c r="E173" s="12" t="str">
        <x:v>Mapped</x:v>
      </x:c>
    </x:row>
    <x:row r="174">
      <x:c r="A174" s="12" t="str">
        <x:v>P26-REQ-173</x:v>
      </x:c>
      <x:c r="B174" s="12" t="str">
        <x:v>P26-TST-173</x:v>
      </x:c>
      <x:c r="C174" s="12" t="str">
        <x:v>P25-MOD-005</x:v>
      </x:c>
      <x:c r="D174" s="12" t="str">
        <x:v>P26-MOD-023</x:v>
      </x:c>
      <x:c r="E174" s="12" t="str">
        <x:v>Mapped</x:v>
      </x:c>
    </x:row>
    <x:row r="175">
      <x:c r="A175" s="12" t="str">
        <x:v>P26-REQ-174</x:v>
      </x:c>
      <x:c r="B175" s="12" t="str">
        <x:v>P26-TST-174</x:v>
      </x:c>
      <x:c r="C175" s="12" t="str">
        <x:v>P25-MOD-006</x:v>
      </x:c>
      <x:c r="D175" s="12" t="str">
        <x:v>P26-MOD-024</x:v>
      </x:c>
      <x:c r="E175" s="12" t="str">
        <x:v>Mapped</x:v>
      </x:c>
    </x:row>
    <x:row r="176">
      <x:c r="A176" s="12" t="str">
        <x:v>P26-REQ-175</x:v>
      </x:c>
      <x:c r="B176" s="12" t="str">
        <x:v>P26-TST-175</x:v>
      </x:c>
      <x:c r="C176" s="12" t="str">
        <x:v>P25-MOD-007</x:v>
      </x:c>
      <x:c r="D176" s="12" t="str">
        <x:v>P26-MOD-025</x:v>
      </x:c>
      <x:c r="E176" s="12" t="str">
        <x:v>Mapped</x:v>
      </x:c>
    </x:row>
    <x:row r="177">
      <x:c r="A177" s="12" t="str">
        <x:v>P26-REQ-176</x:v>
      </x:c>
      <x:c r="B177" s="12" t="str">
        <x:v>P26-TST-176</x:v>
      </x:c>
      <x:c r="C177" s="12" t="str">
        <x:v>P25-MOD-008</x:v>
      </x:c>
      <x:c r="D177" s="12" t="str">
        <x:v>P26-MOD-026</x:v>
      </x:c>
      <x:c r="E177" s="12" t="str">
        <x:v>Mapped</x:v>
      </x:c>
    </x:row>
    <x:row r="178">
      <x:c r="A178" s="12" t="str">
        <x:v>P26-REQ-177</x:v>
      </x:c>
      <x:c r="B178" s="12" t="str">
        <x:v>P26-TST-177</x:v>
      </x:c>
      <x:c r="C178" s="12" t="str">
        <x:v>P25-MOD-009</x:v>
      </x:c>
      <x:c r="D178" s="12" t="str">
        <x:v>P26-MOD-027</x:v>
      </x:c>
      <x:c r="E178" s="12" t="str">
        <x:v>Mapped</x:v>
      </x:c>
    </x:row>
    <x:row r="179">
      <x:c r="A179" s="12" t="str">
        <x:v>P26-REQ-178</x:v>
      </x:c>
      <x:c r="B179" s="12" t="str">
        <x:v>P26-TST-178</x:v>
      </x:c>
      <x:c r="C179" s="12" t="str">
        <x:v>P25-MOD-010</x:v>
      </x:c>
      <x:c r="D179" s="12" t="str">
        <x:v>P26-MOD-028</x:v>
      </x:c>
      <x:c r="E179" s="12" t="str">
        <x:v>Mapped</x:v>
      </x:c>
    </x:row>
    <x:row r="180">
      <x:c r="A180" s="12" t="str">
        <x:v>P26-REQ-179</x:v>
      </x:c>
      <x:c r="B180" s="12" t="str">
        <x:v>P26-TST-179</x:v>
      </x:c>
      <x:c r="C180" s="12" t="str">
        <x:v>P25-MOD-011</x:v>
      </x:c>
      <x:c r="D180" s="12" t="str">
        <x:v>P26-MOD-029</x:v>
      </x:c>
      <x:c r="E180" s="12" t="str">
        <x:v>Mapped</x:v>
      </x:c>
    </x:row>
    <x:row r="181">
      <x:c r="A181" s="12" t="str">
        <x:v>P26-REQ-180</x:v>
      </x:c>
      <x:c r="B181" s="12" t="str">
        <x:v>P26-TST-180</x:v>
      </x:c>
      <x:c r="C181" s="12" t="str">
        <x:v>P25-MOD-012</x:v>
      </x:c>
      <x:c r="D181" s="12" t="str">
        <x:v>P26-MOD-030</x:v>
      </x:c>
      <x:c r="E181" s="12" t="str">
        <x:v>Mapped</x:v>
      </x:c>
    </x:row>
    <x:row r="182">
      <x:c r="A182" s="12" t="str">
        <x:v>P26-REQ-181</x:v>
      </x:c>
      <x:c r="B182" s="12" t="str">
        <x:v>P26-TST-181</x:v>
      </x:c>
      <x:c r="C182" s="12" t="str">
        <x:v>P25-MOD-013</x:v>
      </x:c>
      <x:c r="D182" s="12" t="str">
        <x:v>P26-MOD-001</x:v>
      </x:c>
      <x:c r="E182" s="12" t="str">
        <x:v>Mapped</x:v>
      </x:c>
    </x:row>
    <x:row r="183">
      <x:c r="A183" s="12" t="str">
        <x:v>P26-REQ-182</x:v>
      </x:c>
      <x:c r="B183" s="12" t="str">
        <x:v>P26-TST-182</x:v>
      </x:c>
      <x:c r="C183" s="12" t="str">
        <x:v>P25-MOD-014</x:v>
      </x:c>
      <x:c r="D183" s="12" t="str">
        <x:v>P26-MOD-002</x:v>
      </x:c>
      <x:c r="E183" s="12" t="str">
        <x:v>Mapped</x:v>
      </x:c>
    </x:row>
    <x:row r="184">
      <x:c r="A184" s="12" t="str">
        <x:v>P26-REQ-183</x:v>
      </x:c>
      <x:c r="B184" s="12" t="str">
        <x:v>P26-TST-183</x:v>
      </x:c>
      <x:c r="C184" s="12" t="str">
        <x:v>P25-MOD-015</x:v>
      </x:c>
      <x:c r="D184" s="12" t="str">
        <x:v>P26-MOD-003</x:v>
      </x:c>
      <x:c r="E184" s="12" t="str">
        <x:v>Mapped</x:v>
      </x:c>
    </x:row>
    <x:row r="185">
      <x:c r="A185" s="12" t="str">
        <x:v>P26-REQ-184</x:v>
      </x:c>
      <x:c r="B185" s="12" t="str">
        <x:v>P26-TST-184</x:v>
      </x:c>
      <x:c r="C185" s="12" t="str">
        <x:v>P25-MOD-016</x:v>
      </x:c>
      <x:c r="D185" s="12" t="str">
        <x:v>P26-MOD-004</x:v>
      </x:c>
      <x:c r="E185" s="12" t="str">
        <x:v>Mapped</x:v>
      </x:c>
    </x:row>
    <x:row r="186">
      <x:c r="A186" s="12" t="str">
        <x:v>P26-REQ-185</x:v>
      </x:c>
      <x:c r="B186" s="12" t="str">
        <x:v>P26-TST-185</x:v>
      </x:c>
      <x:c r="C186" s="12" t="str">
        <x:v>P25-MOD-017</x:v>
      </x:c>
      <x:c r="D186" s="12" t="str">
        <x:v>P26-MOD-005</x:v>
      </x:c>
      <x:c r="E186" s="12" t="str">
        <x:v>Mapped</x:v>
      </x:c>
    </x:row>
    <x:row r="187">
      <x:c r="A187" s="12" t="str">
        <x:v>P26-REQ-186</x:v>
      </x:c>
      <x:c r="B187" s="12" t="str">
        <x:v>P26-TST-186</x:v>
      </x:c>
      <x:c r="C187" s="12" t="str">
        <x:v>P25-MOD-018</x:v>
      </x:c>
      <x:c r="D187" s="12" t="str">
        <x:v>P26-MOD-006</x:v>
      </x:c>
      <x:c r="E187" s="12" t="str">
        <x:v>Mapped</x:v>
      </x:c>
    </x:row>
    <x:row r="188">
      <x:c r="A188" s="12" t="str">
        <x:v>P26-REQ-187</x:v>
      </x:c>
      <x:c r="B188" s="12" t="str">
        <x:v>P26-TST-187</x:v>
      </x:c>
      <x:c r="C188" s="12" t="str">
        <x:v>P25-MOD-019</x:v>
      </x:c>
      <x:c r="D188" s="12" t="str">
        <x:v>P26-MOD-007</x:v>
      </x:c>
      <x:c r="E188" s="12" t="str">
        <x:v>Mapped</x:v>
      </x:c>
    </x:row>
    <x:row r="189">
      <x:c r="A189" s="12" t="str">
        <x:v>P26-REQ-188</x:v>
      </x:c>
      <x:c r="B189" s="12" t="str">
        <x:v>P26-TST-188</x:v>
      </x:c>
      <x:c r="C189" s="12" t="str">
        <x:v>P25-MOD-020</x:v>
      </x:c>
      <x:c r="D189" s="12" t="str">
        <x:v>P26-MOD-008</x:v>
      </x:c>
      <x:c r="E189" s="12" t="str">
        <x:v>Mapped</x:v>
      </x:c>
    </x:row>
    <x:row r="190">
      <x:c r="A190" s="12" t="str">
        <x:v>P26-REQ-189</x:v>
      </x:c>
      <x:c r="B190" s="12" t="str">
        <x:v>P26-TST-189</x:v>
      </x:c>
      <x:c r="C190" s="12" t="str">
        <x:v>P25-MOD-021</x:v>
      </x:c>
      <x:c r="D190" s="12" t="str">
        <x:v>P26-MOD-009</x:v>
      </x:c>
      <x:c r="E190" s="12" t="str">
        <x:v>Mapped</x:v>
      </x:c>
    </x:row>
    <x:row r="191">
      <x:c r="A191" s="12" t="str">
        <x:v>P26-REQ-190</x:v>
      </x:c>
      <x:c r="B191" s="12" t="str">
        <x:v>P26-TST-190</x:v>
      </x:c>
      <x:c r="C191" s="12" t="str">
        <x:v>P25-MOD-022</x:v>
      </x:c>
      <x:c r="D191" s="12" t="str">
        <x:v>P26-MOD-010</x:v>
      </x:c>
      <x:c r="E191" s="12" t="str">
        <x:v>Mapped</x:v>
      </x:c>
    </x:row>
    <x:row r="192">
      <x:c r="A192" s="12" t="str">
        <x:v>P26-REQ-191</x:v>
      </x:c>
      <x:c r="B192" s="12" t="str">
        <x:v>P26-TST-191</x:v>
      </x:c>
      <x:c r="C192" s="12" t="str">
        <x:v>P25-MOD-023</x:v>
      </x:c>
      <x:c r="D192" s="12" t="str">
        <x:v>P26-MOD-011</x:v>
      </x:c>
      <x:c r="E192" s="12" t="str">
        <x:v>Mapped</x:v>
      </x:c>
    </x:row>
    <x:row r="193">
      <x:c r="A193" s="12" t="str">
        <x:v>P26-REQ-192</x:v>
      </x:c>
      <x:c r="B193" s="12" t="str">
        <x:v>P26-TST-192</x:v>
      </x:c>
      <x:c r="C193" s="12" t="str">
        <x:v>P25-MOD-024</x:v>
      </x:c>
      <x:c r="D193" s="12" t="str">
        <x:v>P26-MOD-012</x:v>
      </x:c>
      <x:c r="E193" s="12" t="str">
        <x:v>Mapped</x:v>
      </x:c>
    </x:row>
    <x:row r="194">
      <x:c r="A194" s="12" t="str">
        <x:v>P26-REQ-193</x:v>
      </x:c>
      <x:c r="B194" s="12" t="str">
        <x:v>P26-TST-193</x:v>
      </x:c>
      <x:c r="C194" s="12" t="str">
        <x:v>P25-MOD-001</x:v>
      </x:c>
      <x:c r="D194" s="12" t="str">
        <x:v>P26-MOD-013</x:v>
      </x:c>
      <x:c r="E194" s="12" t="str">
        <x:v>Mapped</x:v>
      </x:c>
    </x:row>
    <x:row r="195">
      <x:c r="A195" s="12" t="str">
        <x:v>P26-REQ-194</x:v>
      </x:c>
      <x:c r="B195" s="12" t="str">
        <x:v>P26-TST-194</x:v>
      </x:c>
      <x:c r="C195" s="12" t="str">
        <x:v>P25-MOD-002</x:v>
      </x:c>
      <x:c r="D195" s="12" t="str">
        <x:v>P26-MOD-014</x:v>
      </x:c>
      <x:c r="E195" s="12" t="str">
        <x:v>Mapped</x:v>
      </x:c>
    </x:row>
    <x:row r="196">
      <x:c r="A196" s="12" t="str">
        <x:v>P26-REQ-195</x:v>
      </x:c>
      <x:c r="B196" s="12" t="str">
        <x:v>P26-TST-195</x:v>
      </x:c>
      <x:c r="C196" s="12" t="str">
        <x:v>P25-MOD-003</x:v>
      </x:c>
      <x:c r="D196" s="12" t="str">
        <x:v>P26-MOD-015</x:v>
      </x:c>
      <x:c r="E196" s="12" t="str">
        <x:v>Mapped</x:v>
      </x:c>
    </x:row>
    <x:row r="197">
      <x:c r="A197" s="12" t="str">
        <x:v>P26-REQ-196</x:v>
      </x:c>
      <x:c r="B197" s="12" t="str">
        <x:v>P26-TST-196</x:v>
      </x:c>
      <x:c r="C197" s="12" t="str">
        <x:v>P25-MOD-004</x:v>
      </x:c>
      <x:c r="D197" s="12" t="str">
        <x:v>P26-MOD-016</x:v>
      </x:c>
      <x:c r="E197" s="12" t="str">
        <x:v>Mapped</x:v>
      </x:c>
    </x:row>
    <x:row r="198">
      <x:c r="A198" s="12" t="str">
        <x:v>P26-REQ-197</x:v>
      </x:c>
      <x:c r="B198" s="12" t="str">
        <x:v>P26-TST-197</x:v>
      </x:c>
      <x:c r="C198" s="12" t="str">
        <x:v>P25-MOD-005</x:v>
      </x:c>
      <x:c r="D198" s="12" t="str">
        <x:v>P26-MOD-017</x:v>
      </x:c>
      <x:c r="E198" s="12" t="str">
        <x:v>Mapped</x:v>
      </x:c>
    </x:row>
    <x:row r="199">
      <x:c r="A199" s="12" t="str">
        <x:v>P26-REQ-198</x:v>
      </x:c>
      <x:c r="B199" s="12" t="str">
        <x:v>P26-TST-198</x:v>
      </x:c>
      <x:c r="C199" s="12" t="str">
        <x:v>P25-MOD-006</x:v>
      </x:c>
      <x:c r="D199" s="12" t="str">
        <x:v>P26-MOD-018</x:v>
      </x:c>
      <x:c r="E199" s="12" t="str">
        <x:v>Mapped</x:v>
      </x:c>
    </x:row>
    <x:row r="200">
      <x:c r="A200" s="12" t="str">
        <x:v>P26-REQ-199</x:v>
      </x:c>
      <x:c r="B200" s="12" t="str">
        <x:v>P26-TST-199</x:v>
      </x:c>
      <x:c r="C200" s="12" t="str">
        <x:v>P25-MOD-007</x:v>
      </x:c>
      <x:c r="D200" s="12" t="str">
        <x:v>P26-MOD-019</x:v>
      </x:c>
      <x:c r="E200" s="12" t="str">
        <x:v>Mapped</x:v>
      </x:c>
    </x:row>
    <x:row r="201">
      <x:c r="A201" s="12" t="str">
        <x:v>P26-REQ-200</x:v>
      </x:c>
      <x:c r="B201" s="12" t="str">
        <x:v>P26-TST-200</x:v>
      </x:c>
      <x:c r="C201" s="12" t="str">
        <x:v>P25-MOD-008</x:v>
      </x:c>
      <x:c r="D201" s="12" t="str">
        <x:v>P26-MOD-020</x:v>
      </x:c>
      <x:c r="E201" s="12" t="str">
        <x:v>Mapped</x:v>
      </x:c>
    </x:row>
    <x:row r="202">
      <x:c r="A202" s="12" t="str">
        <x:v>P26-REQ-201</x:v>
      </x:c>
      <x:c r="B202" s="12" t="str">
        <x:v>P26-TST-201</x:v>
      </x:c>
      <x:c r="C202" s="12" t="str">
        <x:v>P25-MOD-009</x:v>
      </x:c>
      <x:c r="D202" s="12" t="str">
        <x:v>P26-MOD-021</x:v>
      </x:c>
      <x:c r="E202" s="12" t="str">
        <x:v>Mapped</x:v>
      </x:c>
    </x:row>
    <x:row r="203">
      <x:c r="A203" s="12" t="str">
        <x:v>P26-REQ-202</x:v>
      </x:c>
      <x:c r="B203" s="12" t="str">
        <x:v>P26-TST-202</x:v>
      </x:c>
      <x:c r="C203" s="12" t="str">
        <x:v>P25-MOD-010</x:v>
      </x:c>
      <x:c r="D203" s="12" t="str">
        <x:v>P26-MOD-022</x:v>
      </x:c>
      <x:c r="E203" s="12" t="str">
        <x:v>Mapped</x:v>
      </x:c>
    </x:row>
    <x:row r="204">
      <x:c r="A204" s="12" t="str">
        <x:v>P26-REQ-203</x:v>
      </x:c>
      <x:c r="B204" s="12" t="str">
        <x:v>P26-TST-203</x:v>
      </x:c>
      <x:c r="C204" s="12" t="str">
        <x:v>P25-MOD-011</x:v>
      </x:c>
      <x:c r="D204" s="12" t="str">
        <x:v>P26-MOD-023</x:v>
      </x:c>
      <x:c r="E204" s="12" t="str">
        <x:v>Mapped</x:v>
      </x:c>
    </x:row>
    <x:row r="205">
      <x:c r="A205" s="12" t="str">
        <x:v>P26-REQ-204</x:v>
      </x:c>
      <x:c r="B205" s="12" t="str">
        <x:v>P26-TST-204</x:v>
      </x:c>
      <x:c r="C205" s="12" t="str">
        <x:v>P25-MOD-012</x:v>
      </x:c>
      <x:c r="D205" s="12" t="str">
        <x:v>P26-MOD-024</x:v>
      </x:c>
      <x:c r="E205" s="12" t="str">
        <x:v>Mapped</x:v>
      </x:c>
    </x:row>
    <x:row r="206">
      <x:c r="A206" s="12" t="str">
        <x:v>P26-REQ-205</x:v>
      </x:c>
      <x:c r="B206" s="12" t="str">
        <x:v>P26-TST-205</x:v>
      </x:c>
      <x:c r="C206" s="12" t="str">
        <x:v>P25-MOD-013</x:v>
      </x:c>
      <x:c r="D206" s="12" t="str">
        <x:v>P26-MOD-025</x:v>
      </x:c>
      <x:c r="E206" s="12" t="str">
        <x:v>Mapped</x:v>
      </x:c>
    </x:row>
    <x:row r="207">
      <x:c r="A207" s="12" t="str">
        <x:v>P26-REQ-206</x:v>
      </x:c>
      <x:c r="B207" s="12" t="str">
        <x:v>P26-TST-206</x:v>
      </x:c>
      <x:c r="C207" s="12" t="str">
        <x:v>P25-MOD-014</x:v>
      </x:c>
      <x:c r="D207" s="12" t="str">
        <x:v>P26-MOD-026</x:v>
      </x:c>
      <x:c r="E207" s="12" t="str">
        <x:v>Mapped</x:v>
      </x:c>
    </x:row>
    <x:row r="208">
      <x:c r="A208" s="12" t="str">
        <x:v>P26-REQ-207</x:v>
      </x:c>
      <x:c r="B208" s="12" t="str">
        <x:v>P26-TST-207</x:v>
      </x:c>
      <x:c r="C208" s="12" t="str">
        <x:v>P25-MOD-015</x:v>
      </x:c>
      <x:c r="D208" s="12" t="str">
        <x:v>P26-MOD-027</x:v>
      </x:c>
      <x:c r="E208" s="12" t="str">
        <x:v>Mapped</x:v>
      </x:c>
    </x:row>
    <x:row r="209">
      <x:c r="A209" s="12" t="str">
        <x:v>P26-REQ-208</x:v>
      </x:c>
      <x:c r="B209" s="12" t="str">
        <x:v>P26-TST-208</x:v>
      </x:c>
      <x:c r="C209" s="12" t="str">
        <x:v>P25-MOD-016</x:v>
      </x:c>
      <x:c r="D209" s="12" t="str">
        <x:v>P26-MOD-028</x:v>
      </x:c>
      <x:c r="E209" s="12" t="str">
        <x:v>Mapped</x:v>
      </x:c>
    </x:row>
    <x:row r="210">
      <x:c r="A210" s="12" t="str">
        <x:v>P26-REQ-209</x:v>
      </x:c>
      <x:c r="B210" s="12" t="str">
        <x:v>P26-TST-209</x:v>
      </x:c>
      <x:c r="C210" s="12" t="str">
        <x:v>P25-MOD-017</x:v>
      </x:c>
      <x:c r="D210" s="12" t="str">
        <x:v>P26-MOD-029</x:v>
      </x:c>
      <x:c r="E210" s="12" t="str">
        <x:v>Mapped</x:v>
      </x:c>
    </x:row>
    <x:row r="211">
      <x:c r="A211" s="12" t="str">
        <x:v>P26-REQ-210</x:v>
      </x:c>
      <x:c r="B211" s="12" t="str">
        <x:v>P26-TST-210</x:v>
      </x:c>
      <x:c r="C211" s="12" t="str">
        <x:v>P25-MOD-018</x:v>
      </x:c>
      <x:c r="D211" s="12" t="str">
        <x:v>P26-MOD-030</x:v>
      </x:c>
      <x:c r="E211" s="12" t="str">
        <x:v>Mapped</x:v>
      </x:c>
    </x:row>
    <x:row r="212">
      <x:c r="A212" s="12" t="str">
        <x:v>P26-REQ-211</x:v>
      </x:c>
      <x:c r="B212" s="12" t="str">
        <x:v>P26-TST-211</x:v>
      </x:c>
      <x:c r="C212" s="12" t="str">
        <x:v>P25-MOD-019</x:v>
      </x:c>
      <x:c r="D212" s="12" t="str">
        <x:v>P26-MOD-001</x:v>
      </x:c>
      <x:c r="E212" s="12" t="str">
        <x:v>Mapped</x:v>
      </x:c>
    </x:row>
    <x:row r="213">
      <x:c r="A213" s="12" t="str">
        <x:v>P26-REQ-212</x:v>
      </x:c>
      <x:c r="B213" s="12" t="str">
        <x:v>P26-TST-212</x:v>
      </x:c>
      <x:c r="C213" s="12" t="str">
        <x:v>P25-MOD-020</x:v>
      </x:c>
      <x:c r="D213" s="12" t="str">
        <x:v>P26-MOD-002</x:v>
      </x:c>
      <x:c r="E213" s="12" t="str">
        <x:v>Mapped</x:v>
      </x:c>
    </x:row>
    <x:row r="214">
      <x:c r="A214" s="12" t="str">
        <x:v>P26-REQ-213</x:v>
      </x:c>
      <x:c r="B214" s="12" t="str">
        <x:v>P26-TST-213</x:v>
      </x:c>
      <x:c r="C214" s="12" t="str">
        <x:v>P25-MOD-021</x:v>
      </x:c>
      <x:c r="D214" s="12" t="str">
        <x:v>P26-MOD-003</x:v>
      </x:c>
      <x:c r="E214" s="12" t="str">
        <x:v>Mapped</x:v>
      </x:c>
    </x:row>
    <x:row r="215">
      <x:c r="A215" s="12" t="str">
        <x:v>P26-REQ-214</x:v>
      </x:c>
      <x:c r="B215" s="12" t="str">
        <x:v>P26-TST-214</x:v>
      </x:c>
      <x:c r="C215" s="12" t="str">
        <x:v>P25-MOD-022</x:v>
      </x:c>
      <x:c r="D215" s="12" t="str">
        <x:v>P26-MOD-004</x:v>
      </x:c>
      <x:c r="E215" s="12" t="str">
        <x:v>Mapped</x:v>
      </x:c>
    </x:row>
    <x:row r="216">
      <x:c r="A216" s="12" t="str">
        <x:v>P26-REQ-215</x:v>
      </x:c>
      <x:c r="B216" s="12" t="str">
        <x:v>P26-TST-215</x:v>
      </x:c>
      <x:c r="C216" s="12" t="str">
        <x:v>P25-MOD-023</x:v>
      </x:c>
      <x:c r="D216" s="12" t="str">
        <x:v>P26-MOD-005</x:v>
      </x:c>
      <x:c r="E216" s="12" t="str">
        <x:v>Mapped</x:v>
      </x:c>
    </x:row>
    <x:row r="217">
      <x:c r="A217" s="12" t="str">
        <x:v>P26-REQ-216</x:v>
      </x:c>
      <x:c r="B217" s="12" t="str">
        <x:v>P26-TST-216</x:v>
      </x:c>
      <x:c r="C217" s="12" t="str">
        <x:v>P25-MOD-024</x:v>
      </x:c>
      <x:c r="D217" s="12" t="str">
        <x:v>P26-MOD-006</x:v>
      </x:c>
      <x:c r="E217" s="12" t="str">
        <x:v>Mapped</x:v>
      </x:c>
    </x:row>
    <x:row r="218">
      <x:c r="A218" s="12" t="str">
        <x:v>P26-REQ-217</x:v>
      </x:c>
      <x:c r="B218" s="12" t="str">
        <x:v>P26-TST-217</x:v>
      </x:c>
      <x:c r="C218" s="12" t="str">
        <x:v>P25-MOD-001</x:v>
      </x:c>
      <x:c r="D218" s="12" t="str">
        <x:v>P26-MOD-007</x:v>
      </x:c>
      <x:c r="E218" s="12" t="str">
        <x:v>Mapped</x:v>
      </x:c>
    </x:row>
    <x:row r="219">
      <x:c r="A219" s="12" t="str">
        <x:v>P26-REQ-218</x:v>
      </x:c>
      <x:c r="B219" s="12" t="str">
        <x:v>P26-TST-218</x:v>
      </x:c>
      <x:c r="C219" s="12" t="str">
        <x:v>P25-MOD-002</x:v>
      </x:c>
      <x:c r="D219" s="12" t="str">
        <x:v>P26-MOD-008</x:v>
      </x:c>
      <x:c r="E219" s="12" t="str">
        <x:v>Mapped</x:v>
      </x:c>
    </x:row>
    <x:row r="220">
      <x:c r="A220" s="12" t="str">
        <x:v>P26-REQ-219</x:v>
      </x:c>
      <x:c r="B220" s="12" t="str">
        <x:v>P26-TST-219</x:v>
      </x:c>
      <x:c r="C220" s="12" t="str">
        <x:v>P25-MOD-003</x:v>
      </x:c>
      <x:c r="D220" s="12" t="str">
        <x:v>P26-MOD-009</x:v>
      </x:c>
      <x:c r="E220" s="12" t="str">
        <x:v>Mapped</x:v>
      </x:c>
    </x:row>
    <x:row r="221">
      <x:c r="A221" s="12" t="str">
        <x:v>P26-REQ-220</x:v>
      </x:c>
      <x:c r="B221" s="12" t="str">
        <x:v>P26-TST-220</x:v>
      </x:c>
      <x:c r="C221" s="12" t="str">
        <x:v>P25-MOD-004</x:v>
      </x:c>
      <x:c r="D221" s="12" t="str">
        <x:v>P26-MOD-010</x:v>
      </x:c>
      <x:c r="E221" s="12" t="str">
        <x:v>Mapped</x:v>
      </x:c>
    </x:row>
    <x:row r="222">
      <x:c r="A222" s="12" t="str">
        <x:v>P26-REQ-221</x:v>
      </x:c>
      <x:c r="B222" s="12" t="str">
        <x:v>P26-TST-221</x:v>
      </x:c>
      <x:c r="C222" s="12" t="str">
        <x:v>P25-MOD-005</x:v>
      </x:c>
      <x:c r="D222" s="12" t="str">
        <x:v>P26-MOD-011</x:v>
      </x:c>
      <x:c r="E222" s="12" t="str">
        <x:v>Mapped</x:v>
      </x:c>
    </x:row>
    <x:row r="223">
      <x:c r="A223" s="12" t="str">
        <x:v>P26-REQ-222</x:v>
      </x:c>
      <x:c r="B223" s="12" t="str">
        <x:v>P26-TST-222</x:v>
      </x:c>
      <x:c r="C223" s="12" t="str">
        <x:v>P25-MOD-006</x:v>
      </x:c>
      <x:c r="D223" s="12" t="str">
        <x:v>P26-MOD-012</x:v>
      </x:c>
      <x:c r="E223" s="12" t="str">
        <x:v>Mapped</x:v>
      </x:c>
    </x:row>
    <x:row r="224">
      <x:c r="A224" s="12" t="str">
        <x:v>P26-REQ-223</x:v>
      </x:c>
      <x:c r="B224" s="12" t="str">
        <x:v>P26-TST-223</x:v>
      </x:c>
      <x:c r="C224" s="12" t="str">
        <x:v>P25-MOD-007</x:v>
      </x:c>
      <x:c r="D224" s="12" t="str">
        <x:v>P26-MOD-013</x:v>
      </x:c>
      <x:c r="E224" s="12" t="str">
        <x:v>Mapped</x:v>
      </x:c>
    </x:row>
    <x:row r="225">
      <x:c r="A225" s="12" t="str">
        <x:v>P26-REQ-224</x:v>
      </x:c>
      <x:c r="B225" s="12" t="str">
        <x:v>P26-TST-224</x:v>
      </x:c>
      <x:c r="C225" s="12" t="str">
        <x:v>P25-MOD-008</x:v>
      </x:c>
      <x:c r="D225" s="12" t="str">
        <x:v>P26-MOD-014</x:v>
      </x:c>
      <x:c r="E225" s="12" t="str">
        <x:v>Mapped</x:v>
      </x:c>
    </x:row>
    <x:row r="226">
      <x:c r="A226" s="12" t="str">
        <x:v>P26-REQ-225</x:v>
      </x:c>
      <x:c r="B226" s="12" t="str">
        <x:v>P26-TST-225</x:v>
      </x:c>
      <x:c r="C226" s="12" t="str">
        <x:v>P25-MOD-009</x:v>
      </x:c>
      <x:c r="D226" s="12" t="str">
        <x:v>P26-MOD-015</x:v>
      </x:c>
      <x:c r="E226" s="12" t="str">
        <x:v>Mapped</x:v>
      </x:c>
    </x:row>
    <x:row r="227">
      <x:c r="A227" s="12" t="str">
        <x:v>P26-REQ-226</x:v>
      </x:c>
      <x:c r="B227" s="12" t="str">
        <x:v>P26-TST-226</x:v>
      </x:c>
      <x:c r="C227" s="12" t="str">
        <x:v>P25-MOD-010</x:v>
      </x:c>
      <x:c r="D227" s="12" t="str">
        <x:v>P26-MOD-016</x:v>
      </x:c>
      <x:c r="E227" s="12" t="str">
        <x:v>Mapped</x:v>
      </x:c>
    </x:row>
    <x:row r="228">
      <x:c r="A228" s="12" t="str">
        <x:v>P26-REQ-227</x:v>
      </x:c>
      <x:c r="B228" s="12" t="str">
        <x:v>P26-TST-227</x:v>
      </x:c>
      <x:c r="C228" s="12" t="str">
        <x:v>P25-MOD-011</x:v>
      </x:c>
      <x:c r="D228" s="12" t="str">
        <x:v>P26-MOD-017</x:v>
      </x:c>
      <x:c r="E228" s="12" t="str">
        <x:v>Mapped</x:v>
      </x:c>
    </x:row>
    <x:row r="229">
      <x:c r="A229" s="12" t="str">
        <x:v>P26-REQ-228</x:v>
      </x:c>
      <x:c r="B229" s="12" t="str">
        <x:v>P26-TST-228</x:v>
      </x:c>
      <x:c r="C229" s="12" t="str">
        <x:v>P25-MOD-012</x:v>
      </x:c>
      <x:c r="D229" s="12" t="str">
        <x:v>P26-MOD-018</x:v>
      </x:c>
      <x:c r="E229" s="12" t="str">
        <x:v>Mapped</x:v>
      </x:c>
    </x:row>
    <x:row r="230">
      <x:c r="A230" s="12" t="str">
        <x:v>P26-REQ-229</x:v>
      </x:c>
      <x:c r="B230" s="12" t="str">
        <x:v>P26-TST-229</x:v>
      </x:c>
      <x:c r="C230" s="12" t="str">
        <x:v>P25-MOD-013</x:v>
      </x:c>
      <x:c r="D230" s="12" t="str">
        <x:v>P26-MOD-019</x:v>
      </x:c>
      <x:c r="E230" s="12" t="str">
        <x:v>Mapped</x:v>
      </x:c>
    </x:row>
    <x:row r="231">
      <x:c r="A231" s="12" t="str">
        <x:v>P26-REQ-230</x:v>
      </x:c>
      <x:c r="B231" s="12" t="str">
        <x:v>P26-TST-230</x:v>
      </x:c>
      <x:c r="C231" s="12" t="str">
        <x:v>P25-MOD-014</x:v>
      </x:c>
      <x:c r="D231" s="12" t="str">
        <x:v>P26-MOD-020</x:v>
      </x:c>
      <x:c r="E231" s="12" t="str">
        <x:v>Mapped</x:v>
      </x:c>
    </x:row>
    <x:row r="232">
      <x:c r="A232" s="12" t="str">
        <x:v>P26-REQ-231</x:v>
      </x:c>
      <x:c r="B232" s="12" t="str">
        <x:v>P26-TST-231</x:v>
      </x:c>
      <x:c r="C232" s="12" t="str">
        <x:v>P25-MOD-015</x:v>
      </x:c>
      <x:c r="D232" s="12" t="str">
        <x:v>P26-MOD-021</x:v>
      </x:c>
      <x:c r="E232" s="12" t="str">
        <x:v>Mapped</x:v>
      </x:c>
    </x:row>
    <x:row r="233">
      <x:c r="A233" s="12" t="str">
        <x:v>P26-REQ-232</x:v>
      </x:c>
      <x:c r="B233" s="12" t="str">
        <x:v>P26-TST-232</x:v>
      </x:c>
      <x:c r="C233" s="12" t="str">
        <x:v>P25-MOD-016</x:v>
      </x:c>
      <x:c r="D233" s="12" t="str">
        <x:v>P26-MOD-022</x:v>
      </x:c>
      <x:c r="E233" s="12" t="str">
        <x:v>Mapped</x:v>
      </x:c>
    </x:row>
    <x:row r="234">
      <x:c r="A234" s="12" t="str">
        <x:v>P26-REQ-233</x:v>
      </x:c>
      <x:c r="B234" s="12" t="str">
        <x:v>P26-TST-233</x:v>
      </x:c>
      <x:c r="C234" s="12" t="str">
        <x:v>P25-MOD-017</x:v>
      </x:c>
      <x:c r="D234" s="12" t="str">
        <x:v>P26-MOD-023</x:v>
      </x:c>
      <x:c r="E234" s="12" t="str">
        <x:v>Mapped</x:v>
      </x:c>
    </x:row>
    <x:row r="235">
      <x:c r="A235" s="12" t="str">
        <x:v>P26-REQ-234</x:v>
      </x:c>
      <x:c r="B235" s="12" t="str">
        <x:v>P26-TST-234</x:v>
      </x:c>
      <x:c r="C235" s="12" t="str">
        <x:v>P25-MOD-018</x:v>
      </x:c>
      <x:c r="D235" s="12" t="str">
        <x:v>P26-MOD-024</x:v>
      </x:c>
      <x:c r="E235" s="12" t="str">
        <x:v>Mapped</x:v>
      </x:c>
    </x:row>
    <x:row r="236">
      <x:c r="A236" s="12" t="str">
        <x:v>P26-REQ-235</x:v>
      </x:c>
      <x:c r="B236" s="12" t="str">
        <x:v>P26-TST-235</x:v>
      </x:c>
      <x:c r="C236" s="12" t="str">
        <x:v>P25-MOD-019</x:v>
      </x:c>
      <x:c r="D236" s="12" t="str">
        <x:v>P26-MOD-025</x:v>
      </x:c>
      <x:c r="E236" s="12" t="str">
        <x:v>Mapped</x:v>
      </x:c>
    </x:row>
    <x:row r="237">
      <x:c r="A237" s="12" t="str">
        <x:v>P26-REQ-236</x:v>
      </x:c>
      <x:c r="B237" s="12" t="str">
        <x:v>P26-TST-236</x:v>
      </x:c>
      <x:c r="C237" s="12" t="str">
        <x:v>P25-MOD-020</x:v>
      </x:c>
      <x:c r="D237" s="12" t="str">
        <x:v>P26-MOD-026</x:v>
      </x:c>
      <x:c r="E237" s="12" t="str">
        <x:v>Mapped</x:v>
      </x:c>
    </x:row>
    <x:row r="238">
      <x:c r="A238" s="12" t="str">
        <x:v>P26-REQ-237</x:v>
      </x:c>
      <x:c r="B238" s="12" t="str">
        <x:v>P26-TST-237</x:v>
      </x:c>
      <x:c r="C238" s="12" t="str">
        <x:v>P25-MOD-021</x:v>
      </x:c>
      <x:c r="D238" s="12" t="str">
        <x:v>P26-MOD-027</x:v>
      </x:c>
      <x:c r="E238" s="12" t="str">
        <x:v>Mapped</x:v>
      </x:c>
    </x:row>
    <x:row r="239">
      <x:c r="A239" s="12" t="str">
        <x:v>P26-REQ-238</x:v>
      </x:c>
      <x:c r="B239" s="12" t="str">
        <x:v>P26-TST-238</x:v>
      </x:c>
      <x:c r="C239" s="12" t="str">
        <x:v>P25-MOD-022</x:v>
      </x:c>
      <x:c r="D239" s="12" t="str">
        <x:v>P26-MOD-028</x:v>
      </x:c>
      <x:c r="E239" s="12" t="str">
        <x:v>Mapped</x:v>
      </x:c>
    </x:row>
    <x:row r="240">
      <x:c r="A240" s="12" t="str">
        <x:v>P26-REQ-239</x:v>
      </x:c>
      <x:c r="B240" s="12" t="str">
        <x:v>P26-TST-239</x:v>
      </x:c>
      <x:c r="C240" s="12" t="str">
        <x:v>P25-MOD-023</x:v>
      </x:c>
      <x:c r="D240" s="12" t="str">
        <x:v>P26-MOD-029</x:v>
      </x:c>
      <x:c r="E240" s="12" t="str">
        <x:v>Mapped</x:v>
      </x:c>
    </x:row>
    <x:row r="241">
      <x:c r="A241" s="12" t="str">
        <x:v>P26-REQ-240</x:v>
      </x:c>
      <x:c r="B241" s="12" t="str">
        <x:v>P26-TST-240</x:v>
      </x:c>
      <x:c r="C241" s="12" t="str">
        <x:v>P25-MOD-024</x:v>
      </x:c>
      <x:c r="D241" s="12" t="str">
        <x:v>P26-MOD-030</x:v>
      </x:c>
      <x:c r="E241" s="12" t="str">
        <x:v>Mapped</x:v>
      </x:c>
    </x:row>
    <x:row r="242">
      <x:c r="A242" s="12" t="str">
        <x:v>P26-REQ-241</x:v>
      </x:c>
      <x:c r="B242" s="12" t="str">
        <x:v>P26-TST-241</x:v>
      </x:c>
      <x:c r="C242" s="12" t="str">
        <x:v>P25-MOD-001</x:v>
      </x:c>
      <x:c r="D242" s="12" t="str">
        <x:v>P26-MOD-001</x:v>
      </x:c>
      <x:c r="E242" s="12" t="str">
        <x:v>Mapped</x:v>
      </x:c>
    </x:row>
    <x:row r="243">
      <x:c r="A243" s="12" t="str">
        <x:v>P26-REQ-242</x:v>
      </x:c>
      <x:c r="B243" s="12" t="str">
        <x:v>P26-TST-242</x:v>
      </x:c>
      <x:c r="C243" s="12" t="str">
        <x:v>P25-MOD-002</x:v>
      </x:c>
      <x:c r="D243" s="12" t="str">
        <x:v>P26-MOD-002</x:v>
      </x:c>
      <x:c r="E243" s="12" t="str">
        <x:v>Mapped</x:v>
      </x:c>
    </x:row>
    <x:row r="244">
      <x:c r="A244" s="12" t="str">
        <x:v>P26-REQ-243</x:v>
      </x:c>
      <x:c r="B244" s="12" t="str">
        <x:v>P26-TST-243</x:v>
      </x:c>
      <x:c r="C244" s="12" t="str">
        <x:v>P25-MOD-003</x:v>
      </x:c>
      <x:c r="D244" s="12" t="str">
        <x:v>P26-MOD-003</x:v>
      </x:c>
      <x:c r="E244" s="12" t="str">
        <x:v>Mapped</x:v>
      </x:c>
    </x:row>
    <x:row r="245">
      <x:c r="A245" s="12" t="str">
        <x:v>P26-REQ-244</x:v>
      </x:c>
      <x:c r="B245" s="12" t="str">
        <x:v>P26-TST-244</x:v>
      </x:c>
      <x:c r="C245" s="12" t="str">
        <x:v>P25-MOD-004</x:v>
      </x:c>
      <x:c r="D245" s="12" t="str">
        <x:v>P26-MOD-004</x:v>
      </x:c>
      <x:c r="E245" s="12" t="str">
        <x:v>Mapped</x:v>
      </x:c>
    </x:row>
    <x:row r="246">
      <x:c r="A246" s="12" t="str">
        <x:v>P26-REQ-245</x:v>
      </x:c>
      <x:c r="B246" s="12" t="str">
        <x:v>P26-TST-245</x:v>
      </x:c>
      <x:c r="C246" s="12" t="str">
        <x:v>P25-MOD-005</x:v>
      </x:c>
      <x:c r="D246" s="12" t="str">
        <x:v>P26-MOD-005</x:v>
      </x:c>
      <x:c r="E246" s="12" t="str">
        <x:v>Mapped</x:v>
      </x:c>
    </x:row>
    <x:row r="247">
      <x:c r="A247" s="12" t="str">
        <x:v>P26-REQ-246</x:v>
      </x:c>
      <x:c r="B247" s="12" t="str">
        <x:v>P26-TST-246</x:v>
      </x:c>
      <x:c r="C247" s="12" t="str">
        <x:v>P25-MOD-006</x:v>
      </x:c>
      <x:c r="D247" s="12" t="str">
        <x:v>P26-MOD-006</x:v>
      </x:c>
      <x:c r="E247" s="12" t="str">
        <x:v>Mapped</x:v>
      </x:c>
    </x:row>
    <x:row r="248">
      <x:c r="A248" s="12" t="str">
        <x:v>P26-REQ-247</x:v>
      </x:c>
      <x:c r="B248" s="12" t="str">
        <x:v>P26-TST-247</x:v>
      </x:c>
      <x:c r="C248" s="12" t="str">
        <x:v>P25-MOD-007</x:v>
      </x:c>
      <x:c r="D248" s="12" t="str">
        <x:v>P26-MOD-007</x:v>
      </x:c>
      <x:c r="E248" s="12" t="str">
        <x:v>Mapped</x:v>
      </x:c>
    </x:row>
    <x:row r="249">
      <x:c r="A249" s="12" t="str">
        <x:v>P26-REQ-248</x:v>
      </x:c>
      <x:c r="B249" s="12" t="str">
        <x:v>P26-TST-248</x:v>
      </x:c>
      <x:c r="C249" s="12" t="str">
        <x:v>P25-MOD-008</x:v>
      </x:c>
      <x:c r="D249" s="12" t="str">
        <x:v>P26-MOD-008</x:v>
      </x:c>
      <x:c r="E249" s="12" t="str">
        <x:v>Mapped</x:v>
      </x:c>
    </x:row>
    <x:row r="250">
      <x:c r="A250" s="12" t="str">
        <x:v>P26-REQ-249</x:v>
      </x:c>
      <x:c r="B250" s="12" t="str">
        <x:v>P26-TST-249</x:v>
      </x:c>
      <x:c r="C250" s="12" t="str">
        <x:v>P25-MOD-009</x:v>
      </x:c>
      <x:c r="D250" s="12" t="str">
        <x:v>P26-MOD-009</x:v>
      </x:c>
      <x:c r="E250" s="12" t="str">
        <x:v>Mapped</x:v>
      </x:c>
    </x:row>
    <x:row r="251">
      <x:c r="A251" s="12" t="str">
        <x:v>P26-REQ-250</x:v>
      </x:c>
      <x:c r="B251" s="12" t="str">
        <x:v>P26-TST-250</x:v>
      </x:c>
      <x:c r="C251" s="12" t="str">
        <x:v>P25-MOD-010</x:v>
      </x:c>
      <x:c r="D251" s="12" t="str">
        <x:v>P26-MOD-010</x:v>
      </x:c>
      <x:c r="E251" s="12" t="str">
        <x:v>Mapped</x:v>
      </x:c>
    </x:row>
    <x:row r="252">
      <x:c r="A252" s="12" t="str">
        <x:v>P26-REQ-251</x:v>
      </x:c>
      <x:c r="B252" s="12" t="str">
        <x:v>P26-TST-251</x:v>
      </x:c>
      <x:c r="C252" s="12" t="str">
        <x:v>P25-MOD-011</x:v>
      </x:c>
      <x:c r="D252" s="12" t="str">
        <x:v>P26-MOD-011</x:v>
      </x:c>
      <x:c r="E252" s="12" t="str">
        <x:v>Mapped</x:v>
      </x:c>
    </x:row>
    <x:row r="253">
      <x:c r="A253" s="12" t="str">
        <x:v>P26-REQ-252</x:v>
      </x:c>
      <x:c r="B253" s="12" t="str">
        <x:v>P26-TST-252</x:v>
      </x:c>
      <x:c r="C253" s="12" t="str">
        <x:v>P25-MOD-012</x:v>
      </x:c>
      <x:c r="D253" s="12" t="str">
        <x:v>P26-MOD-012</x:v>
      </x:c>
      <x:c r="E253" s="12" t="str">
        <x:v>Mapped</x:v>
      </x:c>
    </x:row>
    <x:row r="254">
      <x:c r="A254" s="12" t="str">
        <x:v>P26-REQ-253</x:v>
      </x:c>
      <x:c r="B254" s="12" t="str">
        <x:v>P26-TST-253</x:v>
      </x:c>
      <x:c r="C254" s="12" t="str">
        <x:v>P25-MOD-013</x:v>
      </x:c>
      <x:c r="D254" s="12" t="str">
        <x:v>P26-MOD-013</x:v>
      </x:c>
      <x:c r="E254" s="12" t="str">
        <x:v>Mapped</x:v>
      </x:c>
    </x:row>
    <x:row r="255">
      <x:c r="A255" s="12" t="str">
        <x:v>P26-REQ-254</x:v>
      </x:c>
      <x:c r="B255" s="12" t="str">
        <x:v>P26-TST-254</x:v>
      </x:c>
      <x:c r="C255" s="12" t="str">
        <x:v>P25-MOD-014</x:v>
      </x:c>
      <x:c r="D255" s="12" t="str">
        <x:v>P26-MOD-014</x:v>
      </x:c>
      <x:c r="E255" s="12" t="str">
        <x:v>Mapped</x:v>
      </x:c>
    </x:row>
    <x:row r="256">
      <x:c r="A256" s="12" t="str">
        <x:v>P26-REQ-255</x:v>
      </x:c>
      <x:c r="B256" s="12" t="str">
        <x:v>P26-TST-255</x:v>
      </x:c>
      <x:c r="C256" s="12" t="str">
        <x:v>P25-MOD-015</x:v>
      </x:c>
      <x:c r="D256" s="12" t="str">
        <x:v>P26-MOD-015</x:v>
      </x:c>
      <x:c r="E256" s="12" t="str">
        <x:v>Mapped</x:v>
      </x:c>
    </x:row>
    <x:row r="257">
      <x:c r="A257" s="12" t="str">
        <x:v>P26-REQ-256</x:v>
      </x:c>
      <x:c r="B257" s="12" t="str">
        <x:v>P26-TST-256</x:v>
      </x:c>
      <x:c r="C257" s="12" t="str">
        <x:v>P25-MOD-016</x:v>
      </x:c>
      <x:c r="D257" s="12" t="str">
        <x:v>P26-MOD-016</x:v>
      </x:c>
      <x:c r="E257" s="12" t="str">
        <x:v>Mapped</x:v>
      </x:c>
    </x:row>
    <x:row r="258">
      <x:c r="A258" s="12" t="str">
        <x:v>P26-REQ-257</x:v>
      </x:c>
      <x:c r="B258" s="12" t="str">
        <x:v>P26-TST-257</x:v>
      </x:c>
      <x:c r="C258" s="12" t="str">
        <x:v>P25-MOD-017</x:v>
      </x:c>
      <x:c r="D258" s="12" t="str">
        <x:v>P26-MOD-017</x:v>
      </x:c>
      <x:c r="E258" s="12" t="str">
        <x:v>Mapped</x:v>
      </x:c>
    </x:row>
    <x:row r="259">
      <x:c r="A259" s="12" t="str">
        <x:v>P26-REQ-258</x:v>
      </x:c>
      <x:c r="B259" s="12" t="str">
        <x:v>P26-TST-258</x:v>
      </x:c>
      <x:c r="C259" s="12" t="str">
        <x:v>P25-MOD-018</x:v>
      </x:c>
      <x:c r="D259" s="12" t="str">
        <x:v>P26-MOD-018</x:v>
      </x:c>
      <x:c r="E259" s="12" t="str">
        <x:v>Mapped</x:v>
      </x:c>
    </x:row>
    <x:row r="260">
      <x:c r="A260" s="12" t="str">
        <x:v>P26-REQ-259</x:v>
      </x:c>
      <x:c r="B260" s="12" t="str">
        <x:v>P26-TST-259</x:v>
      </x:c>
      <x:c r="C260" s="12" t="str">
        <x:v>P25-MOD-019</x:v>
      </x:c>
      <x:c r="D260" s="12" t="str">
        <x:v>P26-MOD-019</x:v>
      </x:c>
      <x:c r="E260" s="12" t="str">
        <x:v>Mapped</x:v>
      </x:c>
    </x:row>
    <x:row r="261">
      <x:c r="A261" s="12" t="str">
        <x:v>P26-REQ-260</x:v>
      </x:c>
      <x:c r="B261" s="12" t="str">
        <x:v>P26-TST-260</x:v>
      </x:c>
      <x:c r="C261" s="12" t="str">
        <x:v>P25-MOD-020</x:v>
      </x:c>
      <x:c r="D261" s="12" t="str">
        <x:v>P26-MOD-020</x:v>
      </x:c>
      <x:c r="E261" s="12" t="str">
        <x:v>Mapped</x:v>
      </x:c>
    </x:row>
    <x:row r="262">
      <x:c r="A262" s="12" t="str">
        <x:v>P26-REQ-261</x:v>
      </x:c>
      <x:c r="B262" s="12" t="str">
        <x:v>P26-TST-261</x:v>
      </x:c>
      <x:c r="C262" s="12" t="str">
        <x:v>P25-MOD-021</x:v>
      </x:c>
      <x:c r="D262" s="12" t="str">
        <x:v>P26-MOD-021</x:v>
      </x:c>
      <x:c r="E262" s="12" t="str">
        <x:v>Mapped</x:v>
      </x:c>
    </x:row>
    <x:row r="263">
      <x:c r="A263" s="12" t="str">
        <x:v>P26-REQ-262</x:v>
      </x:c>
      <x:c r="B263" s="12" t="str">
        <x:v>P26-TST-262</x:v>
      </x:c>
      <x:c r="C263" s="12" t="str">
        <x:v>P25-MOD-022</x:v>
      </x:c>
      <x:c r="D263" s="12" t="str">
        <x:v>P26-MOD-022</x:v>
      </x:c>
      <x:c r="E263" s="12" t="str">
        <x:v>Mapped</x:v>
      </x:c>
    </x:row>
    <x:row r="264">
      <x:c r="A264" s="12" t="str">
        <x:v>P26-REQ-263</x:v>
      </x:c>
      <x:c r="B264" s="12" t="str">
        <x:v>P26-TST-263</x:v>
      </x:c>
      <x:c r="C264" s="12" t="str">
        <x:v>P25-MOD-023</x:v>
      </x:c>
      <x:c r="D264" s="12" t="str">
        <x:v>P26-MOD-023</x:v>
      </x:c>
      <x:c r="E264" s="12" t="str">
        <x:v>Mapped</x:v>
      </x:c>
    </x:row>
    <x:row r="265">
      <x:c r="A265" s="12" t="str">
        <x:v>P26-REQ-264</x:v>
      </x:c>
      <x:c r="B265" s="12" t="str">
        <x:v>P26-TST-264</x:v>
      </x:c>
      <x:c r="C265" s="12" t="str">
        <x:v>P25-MOD-024</x:v>
      </x:c>
      <x:c r="D265" s="12" t="str">
        <x:v>P26-MOD-024</x:v>
      </x:c>
      <x:c r="E265" s="12" t="str">
        <x:v>Mapped</x:v>
      </x:c>
    </x:row>
    <x:row r="266">
      <x:c r="A266" s="12" t="str">
        <x:v>P26-REQ-265</x:v>
      </x:c>
      <x:c r="B266" s="12" t="str">
        <x:v>P26-TST-265</x:v>
      </x:c>
      <x:c r="C266" s="12" t="str">
        <x:v>P25-MOD-001</x:v>
      </x:c>
      <x:c r="D266" s="12" t="str">
        <x:v>P26-MOD-025</x:v>
      </x:c>
      <x:c r="E266" s="12" t="str">
        <x:v>Mapped</x:v>
      </x:c>
    </x:row>
    <x:row r="267">
      <x:c r="A267" s="12" t="str">
        <x:v>P26-REQ-266</x:v>
      </x:c>
      <x:c r="B267" s="12" t="str">
        <x:v>P26-TST-266</x:v>
      </x:c>
      <x:c r="C267" s="12" t="str">
        <x:v>P25-MOD-002</x:v>
      </x:c>
      <x:c r="D267" s="12" t="str">
        <x:v>P26-MOD-026</x:v>
      </x:c>
      <x:c r="E267" s="12" t="str">
        <x:v>Mapped</x:v>
      </x:c>
    </x:row>
    <x:row r="268">
      <x:c r="A268" s="12" t="str">
        <x:v>P26-REQ-267</x:v>
      </x:c>
      <x:c r="B268" s="12" t="str">
        <x:v>P26-TST-267</x:v>
      </x:c>
      <x:c r="C268" s="12" t="str">
        <x:v>P25-MOD-003</x:v>
      </x:c>
      <x:c r="D268" s="12" t="str">
        <x:v>P26-MOD-027</x:v>
      </x:c>
      <x:c r="E268" s="12" t="str">
        <x:v>Mapped</x:v>
      </x:c>
    </x:row>
    <x:row r="269">
      <x:c r="A269" s="12" t="str">
        <x:v>P26-REQ-268</x:v>
      </x:c>
      <x:c r="B269" s="12" t="str">
        <x:v>P26-TST-268</x:v>
      </x:c>
      <x:c r="C269" s="12" t="str">
        <x:v>P25-MOD-004</x:v>
      </x:c>
      <x:c r="D269" s="12" t="str">
        <x:v>P26-MOD-028</x:v>
      </x:c>
      <x:c r="E269" s="12" t="str">
        <x:v>Mapped</x:v>
      </x:c>
    </x:row>
    <x:row r="270">
      <x:c r="A270" s="12" t="str">
        <x:v>P26-REQ-269</x:v>
      </x:c>
      <x:c r="B270" s="12" t="str">
        <x:v>P26-TST-269</x:v>
      </x:c>
      <x:c r="C270" s="12" t="str">
        <x:v>P25-MOD-005</x:v>
      </x:c>
      <x:c r="D270" s="12" t="str">
        <x:v>P26-MOD-029</x:v>
      </x:c>
      <x:c r="E270" s="12" t="str">
        <x:v>Mapped</x:v>
      </x:c>
    </x:row>
    <x:row r="271">
      <x:c r="A271" s="12" t="str">
        <x:v>P26-REQ-270</x:v>
      </x:c>
      <x:c r="B271" s="12" t="str">
        <x:v>P26-TST-270</x:v>
      </x:c>
      <x:c r="C271" s="12" t="str">
        <x:v>P25-MOD-006</x:v>
      </x:c>
      <x:c r="D271" s="12" t="str">
        <x:v>P26-MOD-030</x:v>
      </x:c>
      <x:c r="E271" s="12" t="str">
        <x:v>Mapped</x:v>
      </x:c>
    </x:row>
    <x:row r="272">
      <x:c r="A272" s="12" t="str">
        <x:v>P26-REQ-271</x:v>
      </x:c>
      <x:c r="B272" s="12" t="str">
        <x:v>P26-TST-271</x:v>
      </x:c>
      <x:c r="C272" s="12" t="str">
        <x:v>P25-MOD-007</x:v>
      </x:c>
      <x:c r="D272" s="12" t="str">
        <x:v>P26-MOD-001</x:v>
      </x:c>
      <x:c r="E272" s="12" t="str">
        <x:v>Mapped</x:v>
      </x:c>
    </x:row>
    <x:row r="273">
      <x:c r="A273" s="12" t="str">
        <x:v>P26-REQ-272</x:v>
      </x:c>
      <x:c r="B273" s="12" t="str">
        <x:v>P26-TST-272</x:v>
      </x:c>
      <x:c r="C273" s="12" t="str">
        <x:v>P25-MOD-008</x:v>
      </x:c>
      <x:c r="D273" s="12" t="str">
        <x:v>P26-MOD-002</x:v>
      </x:c>
      <x:c r="E273" s="12" t="str">
        <x:v>Mapped</x:v>
      </x:c>
    </x:row>
    <x:row r="274">
      <x:c r="A274" s="12" t="str">
        <x:v>P26-REQ-273</x:v>
      </x:c>
      <x:c r="B274" s="12" t="str">
        <x:v>P26-TST-273</x:v>
      </x:c>
      <x:c r="C274" s="12" t="str">
        <x:v>P25-MOD-009</x:v>
      </x:c>
      <x:c r="D274" s="12" t="str">
        <x:v>P26-MOD-003</x:v>
      </x:c>
      <x:c r="E274" s="12" t="str">
        <x:v>Mapped</x:v>
      </x:c>
    </x:row>
    <x:row r="275">
      <x:c r="A275" s="12" t="str">
        <x:v>P26-REQ-274</x:v>
      </x:c>
      <x:c r="B275" s="12" t="str">
        <x:v>P26-TST-274</x:v>
      </x:c>
      <x:c r="C275" s="12" t="str">
        <x:v>P25-MOD-010</x:v>
      </x:c>
      <x:c r="D275" s="12" t="str">
        <x:v>P26-MOD-004</x:v>
      </x:c>
      <x:c r="E275" s="12" t="str">
        <x:v>Mapped</x:v>
      </x:c>
    </x:row>
    <x:row r="276">
      <x:c r="A276" s="12" t="str">
        <x:v>P26-REQ-275</x:v>
      </x:c>
      <x:c r="B276" s="12" t="str">
        <x:v>P26-TST-275</x:v>
      </x:c>
      <x:c r="C276" s="12" t="str">
        <x:v>P25-MOD-011</x:v>
      </x:c>
      <x:c r="D276" s="12" t="str">
        <x:v>P26-MOD-005</x:v>
      </x:c>
      <x:c r="E276" s="12" t="str">
        <x:v>Mapped</x:v>
      </x:c>
    </x:row>
    <x:row r="277">
      <x:c r="A277" s="12" t="str">
        <x:v>P26-REQ-276</x:v>
      </x:c>
      <x:c r="B277" s="12" t="str">
        <x:v>P26-TST-276</x:v>
      </x:c>
      <x:c r="C277" s="12" t="str">
        <x:v>P25-MOD-012</x:v>
      </x:c>
      <x:c r="D277" s="12" t="str">
        <x:v>P26-MOD-006</x:v>
      </x:c>
      <x:c r="E277" s="12" t="str">
        <x:v>Mapped</x:v>
      </x:c>
    </x:row>
    <x:row r="278">
      <x:c r="A278" s="12" t="str">
        <x:v>P26-REQ-277</x:v>
      </x:c>
      <x:c r="B278" s="12" t="str">
        <x:v>P26-TST-277</x:v>
      </x:c>
      <x:c r="C278" s="12" t="str">
        <x:v>P25-MOD-013</x:v>
      </x:c>
      <x:c r="D278" s="12" t="str">
        <x:v>P26-MOD-007</x:v>
      </x:c>
      <x:c r="E278" s="12" t="str">
        <x:v>Mapped</x:v>
      </x:c>
    </x:row>
    <x:row r="279">
      <x:c r="A279" s="12" t="str">
        <x:v>P26-REQ-278</x:v>
      </x:c>
      <x:c r="B279" s="12" t="str">
        <x:v>P26-TST-278</x:v>
      </x:c>
      <x:c r="C279" s="12" t="str">
        <x:v>P25-MOD-014</x:v>
      </x:c>
      <x:c r="D279" s="12" t="str">
        <x:v>P26-MOD-008</x:v>
      </x:c>
      <x:c r="E279" s="12" t="str">
        <x:v>Mapped</x:v>
      </x:c>
    </x:row>
    <x:row r="280">
      <x:c r="A280" s="12" t="str">
        <x:v>P26-REQ-279</x:v>
      </x:c>
      <x:c r="B280" s="12" t="str">
        <x:v>P26-TST-279</x:v>
      </x:c>
      <x:c r="C280" s="12" t="str">
        <x:v>P25-MOD-015</x:v>
      </x:c>
      <x:c r="D280" s="12" t="str">
        <x:v>P26-MOD-009</x:v>
      </x:c>
      <x:c r="E280" s="12" t="str">
        <x:v>Mapped</x:v>
      </x:c>
    </x:row>
    <x:row r="281">
      <x:c r="A281" s="12" t="str">
        <x:v>P26-REQ-280</x:v>
      </x:c>
      <x:c r="B281" s="12" t="str">
        <x:v>P26-TST-280</x:v>
      </x:c>
      <x:c r="C281" s="12" t="str">
        <x:v>P25-MOD-016</x:v>
      </x:c>
      <x:c r="D281" s="12" t="str">
        <x:v>P26-MOD-010</x:v>
      </x:c>
      <x:c r="E281" s="12" t="str">
        <x:v>Mapped</x:v>
      </x:c>
    </x:row>
    <x:row r="282">
      <x:c r="A282" s="12" t="str">
        <x:v>P26-REQ-281</x:v>
      </x:c>
      <x:c r="B282" s="12" t="str">
        <x:v>P26-TST-281</x:v>
      </x:c>
      <x:c r="C282" s="12" t="str">
        <x:v>P25-MOD-017</x:v>
      </x:c>
      <x:c r="D282" s="12" t="str">
        <x:v>P26-MOD-011</x:v>
      </x:c>
      <x:c r="E282" s="12" t="str">
        <x:v>Mapped</x:v>
      </x:c>
    </x:row>
    <x:row r="283">
      <x:c r="A283" s="12" t="str">
        <x:v>P26-REQ-282</x:v>
      </x:c>
      <x:c r="B283" s="12" t="str">
        <x:v>P26-TST-282</x:v>
      </x:c>
      <x:c r="C283" s="12" t="str">
        <x:v>P25-MOD-018</x:v>
      </x:c>
      <x:c r="D283" s="12" t="str">
        <x:v>P26-MOD-012</x:v>
      </x:c>
      <x:c r="E283" s="12" t="str">
        <x:v>Mapped</x:v>
      </x:c>
    </x:row>
    <x:row r="284">
      <x:c r="A284" s="12" t="str">
        <x:v>P26-REQ-283</x:v>
      </x:c>
      <x:c r="B284" s="12" t="str">
        <x:v>P26-TST-283</x:v>
      </x:c>
      <x:c r="C284" s="12" t="str">
        <x:v>P25-MOD-019</x:v>
      </x:c>
      <x:c r="D284" s="12" t="str">
        <x:v>P26-MOD-013</x:v>
      </x:c>
      <x:c r="E284" s="12" t="str">
        <x:v>Mapped</x:v>
      </x:c>
    </x:row>
    <x:row r="285">
      <x:c r="A285" s="12" t="str">
        <x:v>P26-REQ-284</x:v>
      </x:c>
      <x:c r="B285" s="12" t="str">
        <x:v>P26-TST-284</x:v>
      </x:c>
      <x:c r="C285" s="12" t="str">
        <x:v>P25-MOD-020</x:v>
      </x:c>
      <x:c r="D285" s="12" t="str">
        <x:v>P26-MOD-014</x:v>
      </x:c>
      <x:c r="E285" s="12" t="str">
        <x:v>Mapped</x:v>
      </x:c>
    </x:row>
    <x:row r="286">
      <x:c r="A286" s="12" t="str">
        <x:v>P26-REQ-285</x:v>
      </x:c>
      <x:c r="B286" s="12" t="str">
        <x:v>P26-TST-285</x:v>
      </x:c>
      <x:c r="C286" s="12" t="str">
        <x:v>P25-MOD-021</x:v>
      </x:c>
      <x:c r="D286" s="12" t="str">
        <x:v>P26-MOD-015</x:v>
      </x:c>
      <x:c r="E286" s="12" t="str">
        <x:v>Mapped</x:v>
      </x:c>
    </x:row>
    <x:row r="287">
      <x:c r="A287" s="12" t="str">
        <x:v>P26-REQ-286</x:v>
      </x:c>
      <x:c r="B287" s="12" t="str">
        <x:v>P26-TST-286</x:v>
      </x:c>
      <x:c r="C287" s="12" t="str">
        <x:v>P25-MOD-022</x:v>
      </x:c>
      <x:c r="D287" s="12" t="str">
        <x:v>P26-MOD-016</x:v>
      </x:c>
      <x:c r="E287" s="12" t="str">
        <x:v>Mapped</x:v>
      </x:c>
    </x:row>
    <x:row r="288">
      <x:c r="A288" s="12" t="str">
        <x:v>P26-REQ-287</x:v>
      </x:c>
      <x:c r="B288" s="12" t="str">
        <x:v>P26-TST-287</x:v>
      </x:c>
      <x:c r="C288" s="12" t="str">
        <x:v>P25-MOD-023</x:v>
      </x:c>
      <x:c r="D288" s="12" t="str">
        <x:v>P26-MOD-017</x:v>
      </x:c>
      <x:c r="E288" s="12" t="str">
        <x:v>Mapped</x:v>
      </x:c>
    </x:row>
    <x:row r="289">
      <x:c r="A289" s="12" t="str">
        <x:v>P26-REQ-288</x:v>
      </x:c>
      <x:c r="B289" s="12" t="str">
        <x:v>P26-TST-288</x:v>
      </x:c>
      <x:c r="C289" s="12" t="str">
        <x:v>P25-MOD-024</x:v>
      </x:c>
      <x:c r="D289" s="12" t="str">
        <x:v>P26-MOD-018</x:v>
      </x:c>
      <x:c r="E289" s="12" t="str">
        <x:v>Mapped</x:v>
      </x:c>
    </x:row>
    <x:row r="290">
      <x:c r="A290" s="12" t="str">
        <x:v>P26-REQ-289</x:v>
      </x:c>
      <x:c r="B290" s="12" t="str">
        <x:v>P26-TST-289</x:v>
      </x:c>
      <x:c r="C290" s="12" t="str">
        <x:v>P25-MOD-001</x:v>
      </x:c>
      <x:c r="D290" s="12" t="str">
        <x:v>P26-MOD-019</x:v>
      </x:c>
      <x:c r="E290" s="12" t="str">
        <x:v>Mapped</x:v>
      </x:c>
    </x:row>
    <x:row r="291">
      <x:c r="A291" s="12" t="str">
        <x:v>P26-REQ-290</x:v>
      </x:c>
      <x:c r="B291" s="12" t="str">
        <x:v>P26-TST-290</x:v>
      </x:c>
      <x:c r="C291" s="12" t="str">
        <x:v>P25-MOD-002</x:v>
      </x:c>
      <x:c r="D291" s="12" t="str">
        <x:v>P26-MOD-020</x:v>
      </x:c>
      <x:c r="E291" s="12" t="str">
        <x:v>Mapped</x:v>
      </x:c>
    </x:row>
    <x:row r="292">
      <x:c r="A292" s="12" t="str">
        <x:v>P26-REQ-291</x:v>
      </x:c>
      <x:c r="B292" s="12" t="str">
        <x:v>P26-TST-291</x:v>
      </x:c>
      <x:c r="C292" s="12" t="str">
        <x:v>P25-MOD-003</x:v>
      </x:c>
      <x:c r="D292" s="12" t="str">
        <x:v>P26-MOD-021</x:v>
      </x:c>
      <x:c r="E292" s="12" t="str">
        <x:v>Mapped</x:v>
      </x:c>
    </x:row>
    <x:row r="293">
      <x:c r="A293" s="12" t="str">
        <x:v>P26-REQ-292</x:v>
      </x:c>
      <x:c r="B293" s="12" t="str">
        <x:v>P26-TST-292</x:v>
      </x:c>
      <x:c r="C293" s="12" t="str">
        <x:v>P25-MOD-004</x:v>
      </x:c>
      <x:c r="D293" s="12" t="str">
        <x:v>P26-MOD-022</x:v>
      </x:c>
      <x:c r="E293" s="12" t="str">
        <x:v>Mapped</x:v>
      </x:c>
    </x:row>
    <x:row r="294">
      <x:c r="A294" s="12" t="str">
        <x:v>P26-REQ-293</x:v>
      </x:c>
      <x:c r="B294" s="12" t="str">
        <x:v>P26-TST-293</x:v>
      </x:c>
      <x:c r="C294" s="12" t="str">
        <x:v>P25-MOD-005</x:v>
      </x:c>
      <x:c r="D294" s="12" t="str">
        <x:v>P26-MOD-023</x:v>
      </x:c>
      <x:c r="E294" s="12" t="str">
        <x:v>Mapped</x:v>
      </x:c>
    </x:row>
    <x:row r="295">
      <x:c r="A295" s="12" t="str">
        <x:v>P26-REQ-294</x:v>
      </x:c>
      <x:c r="B295" s="12" t="str">
        <x:v>P26-TST-294</x:v>
      </x:c>
      <x:c r="C295" s="12" t="str">
        <x:v>P25-MOD-006</x:v>
      </x:c>
      <x:c r="D295" s="12" t="str">
        <x:v>P26-MOD-024</x:v>
      </x:c>
      <x:c r="E295" s="12" t="str">
        <x:v>Mapped</x:v>
      </x:c>
    </x:row>
    <x:row r="296">
      <x:c r="A296" s="12" t="str">
        <x:v>P26-REQ-295</x:v>
      </x:c>
      <x:c r="B296" s="12" t="str">
        <x:v>P26-TST-295</x:v>
      </x:c>
      <x:c r="C296" s="12" t="str">
        <x:v>P25-MOD-007</x:v>
      </x:c>
      <x:c r="D296" s="12" t="str">
        <x:v>P26-MOD-025</x:v>
      </x:c>
      <x:c r="E296" s="12" t="str">
        <x:v>Mapped</x:v>
      </x:c>
    </x:row>
    <x:row r="297">
      <x:c r="A297" s="12" t="str">
        <x:v>P26-REQ-296</x:v>
      </x:c>
      <x:c r="B297" s="12" t="str">
        <x:v>P26-TST-296</x:v>
      </x:c>
      <x:c r="C297" s="12" t="str">
        <x:v>P25-MOD-008</x:v>
      </x:c>
      <x:c r="D297" s="12" t="str">
        <x:v>P26-MOD-026</x:v>
      </x:c>
      <x:c r="E297" s="12" t="str">
        <x:v>Mapped</x:v>
      </x:c>
    </x:row>
    <x:row r="298">
      <x:c r="A298" s="12" t="str">
        <x:v>P26-REQ-297</x:v>
      </x:c>
      <x:c r="B298" s="12" t="str">
        <x:v>P26-TST-297</x:v>
      </x:c>
      <x:c r="C298" s="12" t="str">
        <x:v>P25-MOD-009</x:v>
      </x:c>
      <x:c r="D298" s="12" t="str">
        <x:v>P26-MOD-027</x:v>
      </x:c>
      <x:c r="E298" s="12" t="str">
        <x:v>Mapped</x:v>
      </x:c>
    </x:row>
    <x:row r="299">
      <x:c r="A299" s="12" t="str">
        <x:v>P26-REQ-298</x:v>
      </x:c>
      <x:c r="B299" s="12" t="str">
        <x:v>P26-TST-298</x:v>
      </x:c>
      <x:c r="C299" s="12" t="str">
        <x:v>P25-MOD-010</x:v>
      </x:c>
      <x:c r="D299" s="12" t="str">
        <x:v>P26-MOD-028</x:v>
      </x:c>
      <x:c r="E299" s="12" t="str">
        <x:v>Mapped</x:v>
      </x:c>
    </x:row>
    <x:row r="300">
      <x:c r="A300" s="12" t="str">
        <x:v>P26-REQ-299</x:v>
      </x:c>
      <x:c r="B300" s="12" t="str">
        <x:v>P26-TST-299</x:v>
      </x:c>
      <x:c r="C300" s="12" t="str">
        <x:v>P25-MOD-011</x:v>
      </x:c>
      <x:c r="D300" s="12" t="str">
        <x:v>P26-MOD-029</x:v>
      </x:c>
      <x:c r="E300" s="12" t="str">
        <x:v>Mapped</x:v>
      </x:c>
    </x:row>
    <x:row r="301">
      <x:c r="A301" s="12" t="str">
        <x:v>P26-REQ-300</x:v>
      </x:c>
      <x:c r="B301" s="12" t="str">
        <x:v>P26-TST-300</x:v>
      </x:c>
      <x:c r="C301" s="12" t="str">
        <x:v>P25-MOD-012</x:v>
      </x:c>
      <x:c r="D301" s="12" t="str">
        <x:v>P26-MOD-030</x:v>
      </x:c>
      <x:c r="E301" s="12" t="str">
        <x:v>Mapped</x:v>
      </x:c>
    </x:row>
    <x:row r="302">
      <x:c r="A302" s="12" t="str">
        <x:v>P26-REQ-301</x:v>
      </x:c>
      <x:c r="B302" s="12" t="str">
        <x:v>P26-TST-301</x:v>
      </x:c>
      <x:c r="C302" s="12" t="str">
        <x:v>P25-MOD-013</x:v>
      </x:c>
      <x:c r="D302" s="12" t="str">
        <x:v>P26-MOD-001</x:v>
      </x:c>
      <x:c r="E302" s="12" t="str">
        <x:v>Mapped</x:v>
      </x:c>
    </x:row>
    <x:row r="303">
      <x:c r="A303" s="12" t="str">
        <x:v>P26-REQ-302</x:v>
      </x:c>
      <x:c r="B303" s="12" t="str">
        <x:v>P26-TST-302</x:v>
      </x:c>
      <x:c r="C303" s="12" t="str">
        <x:v>P25-MOD-014</x:v>
      </x:c>
      <x:c r="D303" s="12" t="str">
        <x:v>P26-MOD-002</x:v>
      </x:c>
      <x:c r="E303" s="12" t="str">
        <x:v>Mapped</x:v>
      </x:c>
    </x:row>
    <x:row r="304">
      <x:c r="A304" s="12" t="str">
        <x:v>P26-REQ-303</x:v>
      </x:c>
      <x:c r="B304" s="12" t="str">
        <x:v>P26-TST-303</x:v>
      </x:c>
      <x:c r="C304" s="12" t="str">
        <x:v>P25-MOD-015</x:v>
      </x:c>
      <x:c r="D304" s="12" t="str">
        <x:v>P26-MOD-003</x:v>
      </x:c>
      <x:c r="E304" s="12" t="str">
        <x:v>Mapped</x:v>
      </x:c>
    </x:row>
    <x:row r="305">
      <x:c r="A305" s="12" t="str">
        <x:v>P26-REQ-304</x:v>
      </x:c>
      <x:c r="B305" s="12" t="str">
        <x:v>P26-TST-304</x:v>
      </x:c>
      <x:c r="C305" s="12" t="str">
        <x:v>P25-MOD-016</x:v>
      </x:c>
      <x:c r="D305" s="12" t="str">
        <x:v>P26-MOD-004</x:v>
      </x:c>
      <x:c r="E305" s="12" t="str">
        <x:v>Mapped</x:v>
      </x:c>
    </x:row>
    <x:row r="306">
      <x:c r="A306" s="12" t="str">
        <x:v>P26-REQ-305</x:v>
      </x:c>
      <x:c r="B306" s="12" t="str">
        <x:v>P26-TST-305</x:v>
      </x:c>
      <x:c r="C306" s="12" t="str">
        <x:v>P25-MOD-017</x:v>
      </x:c>
      <x:c r="D306" s="12" t="str">
        <x:v>P26-MOD-005</x:v>
      </x:c>
      <x:c r="E306" s="12" t="str">
        <x:v>Mapped</x:v>
      </x:c>
    </x:row>
    <x:row r="307">
      <x:c r="A307" s="12" t="str">
        <x:v>P26-REQ-306</x:v>
      </x:c>
      <x:c r="B307" s="12" t="str">
        <x:v>P26-TST-306</x:v>
      </x:c>
      <x:c r="C307" s="12" t="str">
        <x:v>P25-MOD-018</x:v>
      </x:c>
      <x:c r="D307" s="12" t="str">
        <x:v>P26-MOD-006</x:v>
      </x:c>
      <x:c r="E307" s="12" t="str">
        <x:v>Mapped</x:v>
      </x:c>
    </x:row>
    <x:row r="308">
      <x:c r="A308" s="12" t="str">
        <x:v>P26-REQ-307</x:v>
      </x:c>
      <x:c r="B308" s="12" t="str">
        <x:v>P26-TST-307</x:v>
      </x:c>
      <x:c r="C308" s="12" t="str">
        <x:v>P25-MOD-019</x:v>
      </x:c>
      <x:c r="D308" s="12" t="str">
        <x:v>P26-MOD-007</x:v>
      </x:c>
      <x:c r="E308" s="12" t="str">
        <x:v>Mapped</x:v>
      </x:c>
    </x:row>
    <x:row r="309">
      <x:c r="A309" s="12" t="str">
        <x:v>P26-REQ-308</x:v>
      </x:c>
      <x:c r="B309" s="12" t="str">
        <x:v>P26-TST-308</x:v>
      </x:c>
      <x:c r="C309" s="12" t="str">
        <x:v>P25-MOD-020</x:v>
      </x:c>
      <x:c r="D309" s="12" t="str">
        <x:v>P26-MOD-008</x:v>
      </x:c>
      <x:c r="E309" s="12" t="str">
        <x:v>Mapped</x:v>
      </x:c>
    </x:row>
    <x:row r="310">
      <x:c r="A310" s="12" t="str">
        <x:v>P26-REQ-309</x:v>
      </x:c>
      <x:c r="B310" s="12" t="str">
        <x:v>P26-TST-309</x:v>
      </x:c>
      <x:c r="C310" s="12" t="str">
        <x:v>P25-MOD-021</x:v>
      </x:c>
      <x:c r="D310" s="12" t="str">
        <x:v>P26-MOD-009</x:v>
      </x:c>
      <x:c r="E310" s="12" t="str">
        <x:v>Mapped</x:v>
      </x:c>
    </x:row>
    <x:row r="311">
      <x:c r="A311" s="12" t="str">
        <x:v>P26-REQ-310</x:v>
      </x:c>
      <x:c r="B311" s="12" t="str">
        <x:v>P26-TST-310</x:v>
      </x:c>
      <x:c r="C311" s="12" t="str">
        <x:v>P25-MOD-022</x:v>
      </x:c>
      <x:c r="D311" s="12" t="str">
        <x:v>P26-MOD-010</x:v>
      </x:c>
      <x:c r="E311" s="12" t="str">
        <x:v>Mapped</x:v>
      </x:c>
    </x:row>
    <x:row r="312">
      <x:c r="A312" s="12" t="str">
        <x:v>P26-REQ-311</x:v>
      </x:c>
      <x:c r="B312" s="12" t="str">
        <x:v>P26-TST-311</x:v>
      </x:c>
      <x:c r="C312" s="12" t="str">
        <x:v>P25-MOD-023</x:v>
      </x:c>
      <x:c r="D312" s="12" t="str">
        <x:v>P26-MOD-011</x:v>
      </x:c>
      <x:c r="E312" s="12" t="str">
        <x:v>Mapped</x:v>
      </x:c>
    </x:row>
    <x:row r="313">
      <x:c r="A313" s="12" t="str">
        <x:v>P26-REQ-312</x:v>
      </x:c>
      <x:c r="B313" s="12" t="str">
        <x:v>P26-TST-312</x:v>
      </x:c>
      <x:c r="C313" s="12" t="str">
        <x:v>P25-MOD-024</x:v>
      </x:c>
      <x:c r="D313" s="12" t="str">
        <x:v>P26-MOD-012</x:v>
      </x:c>
      <x:c r="E313" s="12" t="str">
        <x:v>Mapped</x:v>
      </x:c>
    </x:row>
    <x:row r="314">
      <x:c r="A314" s="12" t="str">
        <x:v>P26-REQ-313</x:v>
      </x:c>
      <x:c r="B314" s="12" t="str">
        <x:v>P26-TST-313</x:v>
      </x:c>
      <x:c r="C314" s="12" t="str">
        <x:v>P25-MOD-001</x:v>
      </x:c>
      <x:c r="D314" s="12" t="str">
        <x:v>P26-MOD-013</x:v>
      </x:c>
      <x:c r="E314" s="12" t="str">
        <x:v>Mapped</x:v>
      </x:c>
    </x:row>
    <x:row r="315">
      <x:c r="A315" s="12" t="str">
        <x:v>P26-REQ-314</x:v>
      </x:c>
      <x:c r="B315" s="12" t="str">
        <x:v>P26-TST-314</x:v>
      </x:c>
      <x:c r="C315" s="12" t="str">
        <x:v>P25-MOD-002</x:v>
      </x:c>
      <x:c r="D315" s="12" t="str">
        <x:v>P26-MOD-014</x:v>
      </x:c>
      <x:c r="E315" s="12" t="str">
        <x:v>Mapped</x:v>
      </x:c>
    </x:row>
    <x:row r="316">
      <x:c r="A316" s="12" t="str">
        <x:v>P26-REQ-315</x:v>
      </x:c>
      <x:c r="B316" s="12" t="str">
        <x:v>P26-TST-315</x:v>
      </x:c>
      <x:c r="C316" s="12" t="str">
        <x:v>P25-MOD-003</x:v>
      </x:c>
      <x:c r="D316" s="12" t="str">
        <x:v>P26-MOD-015</x:v>
      </x:c>
      <x:c r="E316" s="12" t="str">
        <x:v>Mapped</x:v>
      </x:c>
    </x:row>
    <x:row r="317">
      <x:c r="A317" s="12" t="str">
        <x:v>P26-REQ-316</x:v>
      </x:c>
      <x:c r="B317" s="12" t="str">
        <x:v>P26-TST-316</x:v>
      </x:c>
      <x:c r="C317" s="12" t="str">
        <x:v>P25-MOD-004</x:v>
      </x:c>
      <x:c r="D317" s="12" t="str">
        <x:v>P26-MOD-016</x:v>
      </x:c>
      <x:c r="E317" s="12" t="str">
        <x:v>Mapped</x:v>
      </x:c>
    </x:row>
    <x:row r="318">
      <x:c r="A318" s="12" t="str">
        <x:v>P26-REQ-317</x:v>
      </x:c>
      <x:c r="B318" s="12" t="str">
        <x:v>P26-TST-317</x:v>
      </x:c>
      <x:c r="C318" s="12" t="str">
        <x:v>P25-MOD-005</x:v>
      </x:c>
      <x:c r="D318" s="12" t="str">
        <x:v>P26-MOD-017</x:v>
      </x:c>
      <x:c r="E318" s="12" t="str">
        <x:v>Mapped</x:v>
      </x:c>
    </x:row>
    <x:row r="319">
      <x:c r="A319" s="12" t="str">
        <x:v>P26-REQ-318</x:v>
      </x:c>
      <x:c r="B319" s="12" t="str">
        <x:v>P26-TST-318</x:v>
      </x:c>
      <x:c r="C319" s="12" t="str">
        <x:v>P25-MOD-006</x:v>
      </x:c>
      <x:c r="D319" s="12" t="str">
        <x:v>P26-MOD-018</x:v>
      </x:c>
      <x:c r="E319" s="12" t="str">
        <x:v>Mapped</x:v>
      </x:c>
    </x:row>
    <x:row r="320">
      <x:c r="A320" s="12" t="str">
        <x:v>P26-REQ-319</x:v>
      </x:c>
      <x:c r="B320" s="12" t="str">
        <x:v>P26-TST-319</x:v>
      </x:c>
      <x:c r="C320" s="12" t="str">
        <x:v>P25-MOD-007</x:v>
      </x:c>
      <x:c r="D320" s="12" t="str">
        <x:v>P26-MOD-019</x:v>
      </x:c>
      <x:c r="E320" s="12" t="str">
        <x:v>Mapped</x:v>
      </x:c>
    </x:row>
    <x:row r="321">
      <x:c r="A321" s="12" t="str">
        <x:v>P26-REQ-320</x:v>
      </x:c>
      <x:c r="B321" s="12" t="str">
        <x:v>P26-TST-320</x:v>
      </x:c>
      <x:c r="C321" s="12" t="str">
        <x:v>P25-MOD-008</x:v>
      </x:c>
      <x:c r="D321" s="12" t="str">
        <x:v>P26-MOD-020</x:v>
      </x:c>
      <x:c r="E321" s="12" t="str">
        <x:v>Mapped</x:v>
      </x:c>
    </x:row>
    <x:row r="322">
      <x:c r="A322" s="12" t="str">
        <x:v>P26-REQ-321</x:v>
      </x:c>
      <x:c r="B322" s="12" t="str">
        <x:v>P26-TST-321</x:v>
      </x:c>
      <x:c r="C322" s="12" t="str">
        <x:v>P25-MOD-009</x:v>
      </x:c>
      <x:c r="D322" s="12" t="str">
        <x:v>P26-MOD-021</x:v>
      </x:c>
      <x:c r="E322" s="12" t="str">
        <x:v>Mapped</x:v>
      </x:c>
    </x:row>
    <x:row r="323">
      <x:c r="A323" s="12" t="str">
        <x:v>P26-REQ-322</x:v>
      </x:c>
      <x:c r="B323" s="12" t="str">
        <x:v>P26-TST-322</x:v>
      </x:c>
      <x:c r="C323" s="12" t="str">
        <x:v>P25-MOD-010</x:v>
      </x:c>
      <x:c r="D323" s="12" t="str">
        <x:v>P26-MOD-022</x:v>
      </x:c>
      <x:c r="E323" s="12" t="str">
        <x:v>Mapped</x:v>
      </x:c>
    </x:row>
    <x:row r="324">
      <x:c r="A324" s="12" t="str">
        <x:v>P26-REQ-323</x:v>
      </x:c>
      <x:c r="B324" s="12" t="str">
        <x:v>P26-TST-323</x:v>
      </x:c>
      <x:c r="C324" s="12" t="str">
        <x:v>P25-MOD-011</x:v>
      </x:c>
      <x:c r="D324" s="12" t="str">
        <x:v>P26-MOD-023</x:v>
      </x:c>
      <x:c r="E324" s="12" t="str">
        <x:v>Mapped</x:v>
      </x:c>
    </x:row>
    <x:row r="325">
      <x:c r="A325" s="12" t="str">
        <x:v>P26-REQ-324</x:v>
      </x:c>
      <x:c r="B325" s="12" t="str">
        <x:v>P26-TST-324</x:v>
      </x:c>
      <x:c r="C325" s="12" t="str">
        <x:v>P25-MOD-012</x:v>
      </x:c>
      <x:c r="D325" s="12" t="str">
        <x:v>P26-MOD-024</x:v>
      </x:c>
      <x:c r="E325" s="12" t="str">
        <x:v>Mapped</x:v>
      </x:c>
    </x:row>
    <x:row r="326">
      <x:c r="A326" s="12" t="str">
        <x:v>P26-REQ-325</x:v>
      </x:c>
      <x:c r="B326" s="12" t="str">
        <x:v>P26-TST-325</x:v>
      </x:c>
      <x:c r="C326" s="12" t="str">
        <x:v>P25-MOD-013</x:v>
      </x:c>
      <x:c r="D326" s="12" t="str">
        <x:v>P26-MOD-025</x:v>
      </x:c>
      <x:c r="E326" s="12" t="str">
        <x:v>Mapped</x:v>
      </x:c>
    </x:row>
    <x:row r="327">
      <x:c r="A327" s="12" t="str">
        <x:v>P26-REQ-326</x:v>
      </x:c>
      <x:c r="B327" s="12" t="str">
        <x:v>P26-TST-326</x:v>
      </x:c>
      <x:c r="C327" s="12" t="str">
        <x:v>P25-MOD-014</x:v>
      </x:c>
      <x:c r="D327" s="12" t="str">
        <x:v>P26-MOD-026</x:v>
      </x:c>
      <x:c r="E327" s="12" t="str">
        <x:v>Mapped</x:v>
      </x:c>
    </x:row>
    <x:row r="328">
      <x:c r="A328" s="12" t="str">
        <x:v>P26-REQ-327</x:v>
      </x:c>
      <x:c r="B328" s="12" t="str">
        <x:v>P26-TST-327</x:v>
      </x:c>
      <x:c r="C328" s="12" t="str">
        <x:v>P25-MOD-015</x:v>
      </x:c>
      <x:c r="D328" s="12" t="str">
        <x:v>P26-MOD-027</x:v>
      </x:c>
      <x:c r="E328" s="12" t="str">
        <x:v>Mapped</x:v>
      </x:c>
    </x:row>
    <x:row r="329">
      <x:c r="A329" s="12" t="str">
        <x:v>P26-REQ-328</x:v>
      </x:c>
      <x:c r="B329" s="12" t="str">
        <x:v>P26-TST-328</x:v>
      </x:c>
      <x:c r="C329" s="12" t="str">
        <x:v>P25-MOD-016</x:v>
      </x:c>
      <x:c r="D329" s="12" t="str">
        <x:v>P26-MOD-028</x:v>
      </x:c>
      <x:c r="E329" s="12" t="str">
        <x:v>Mapped</x:v>
      </x:c>
    </x:row>
    <x:row r="330">
      <x:c r="A330" s="12" t="str">
        <x:v>P26-REQ-329</x:v>
      </x:c>
      <x:c r="B330" s="12" t="str">
        <x:v>P26-TST-329</x:v>
      </x:c>
      <x:c r="C330" s="12" t="str">
        <x:v>P25-MOD-017</x:v>
      </x:c>
      <x:c r="D330" s="12" t="str">
        <x:v>P26-MOD-029</x:v>
      </x:c>
      <x:c r="E330" s="12" t="str">
        <x:v>Mapped</x:v>
      </x:c>
    </x:row>
    <x:row r="331">
      <x:c r="A331" s="12" t="str">
        <x:v>P26-REQ-330</x:v>
      </x:c>
      <x:c r="B331" s="12" t="str">
        <x:v>P26-TST-330</x:v>
      </x:c>
      <x:c r="C331" s="12" t="str">
        <x:v>P25-MOD-018</x:v>
      </x:c>
      <x:c r="D331" s="12" t="str">
        <x:v>P26-MOD-030</x:v>
      </x:c>
      <x:c r="E331" s="12" t="str">
        <x:v>Mapped</x:v>
      </x:c>
    </x:row>
    <x:row r="332">
      <x:c r="A332" s="12" t="str">
        <x:v>P26-REQ-331</x:v>
      </x:c>
      <x:c r="B332" s="12" t="str">
        <x:v>P26-TST-331</x:v>
      </x:c>
      <x:c r="C332" s="12" t="str">
        <x:v>P25-MOD-019</x:v>
      </x:c>
      <x:c r="D332" s="12" t="str">
        <x:v>P26-MOD-001</x:v>
      </x:c>
      <x:c r="E332" s="12" t="str">
        <x:v>Mapped</x:v>
      </x:c>
    </x:row>
    <x:row r="333">
      <x:c r="A333" s="12" t="str">
        <x:v>P26-REQ-332</x:v>
      </x:c>
      <x:c r="B333" s="12" t="str">
        <x:v>P26-TST-332</x:v>
      </x:c>
      <x:c r="C333" s="12" t="str">
        <x:v>P25-MOD-020</x:v>
      </x:c>
      <x:c r="D333" s="12" t="str">
        <x:v>P26-MOD-002</x:v>
      </x:c>
      <x:c r="E333" s="12" t="str">
        <x:v>Mapped</x:v>
      </x:c>
    </x:row>
    <x:row r="334">
      <x:c r="A334" s="12" t="str">
        <x:v>P26-REQ-333</x:v>
      </x:c>
      <x:c r="B334" s="12" t="str">
        <x:v>P26-TST-333</x:v>
      </x:c>
      <x:c r="C334" s="12" t="str">
        <x:v>P25-MOD-021</x:v>
      </x:c>
      <x:c r="D334" s="12" t="str">
        <x:v>P26-MOD-003</x:v>
      </x:c>
      <x:c r="E334" s="12" t="str">
        <x:v>Mapped</x:v>
      </x:c>
    </x:row>
    <x:row r="335">
      <x:c r="A335" s="12" t="str">
        <x:v>P26-REQ-334</x:v>
      </x:c>
      <x:c r="B335" s="12" t="str">
        <x:v>P26-TST-334</x:v>
      </x:c>
      <x:c r="C335" s="12" t="str">
        <x:v>P25-MOD-022</x:v>
      </x:c>
      <x:c r="D335" s="12" t="str">
        <x:v>P26-MOD-004</x:v>
      </x:c>
      <x:c r="E335" s="12" t="str">
        <x:v>Mapped</x:v>
      </x:c>
    </x:row>
    <x:row r="336">
      <x:c r="A336" s="12" t="str">
        <x:v>P26-REQ-335</x:v>
      </x:c>
      <x:c r="B336" s="12" t="str">
        <x:v>P26-TST-335</x:v>
      </x:c>
      <x:c r="C336" s="12" t="str">
        <x:v>P25-MOD-023</x:v>
      </x:c>
      <x:c r="D336" s="12" t="str">
        <x:v>P26-MOD-005</x:v>
      </x:c>
      <x:c r="E336" s="12" t="str">
        <x:v>Mapped</x:v>
      </x:c>
    </x:row>
    <x:row r="337">
      <x:c r="A337" s="12" t="str">
        <x:v>P26-REQ-336</x:v>
      </x:c>
      <x:c r="B337" s="12" t="str">
        <x:v>P26-TST-336</x:v>
      </x:c>
      <x:c r="C337" s="12" t="str">
        <x:v>P25-MOD-024</x:v>
      </x:c>
      <x:c r="D337" s="12" t="str">
        <x:v>P26-MOD-006</x:v>
      </x:c>
      <x:c r="E337" s="12" t="str">
        <x:v>Mapped</x:v>
      </x:c>
    </x:row>
    <x:row r="338">
      <x:c r="A338" s="12" t="str">
        <x:v>P26-REQ-337</x:v>
      </x:c>
      <x:c r="B338" s="12" t="str">
        <x:v>P26-TST-337</x:v>
      </x:c>
      <x:c r="C338" s="12" t="str">
        <x:v>P25-MOD-001</x:v>
      </x:c>
      <x:c r="D338" s="12" t="str">
        <x:v>P26-MOD-007</x:v>
      </x:c>
      <x:c r="E338" s="12" t="str">
        <x:v>Mapped</x:v>
      </x:c>
    </x:row>
    <x:row r="339">
      <x:c r="A339" s="12" t="str">
        <x:v>P26-REQ-338</x:v>
      </x:c>
      <x:c r="B339" s="12" t="str">
        <x:v>P26-TST-338</x:v>
      </x:c>
      <x:c r="C339" s="12" t="str">
        <x:v>P25-MOD-002</x:v>
      </x:c>
      <x:c r="D339" s="12" t="str">
        <x:v>P26-MOD-008</x:v>
      </x:c>
      <x:c r="E339" s="12" t="str">
        <x:v>Mapped</x:v>
      </x:c>
    </x:row>
    <x:row r="340">
      <x:c r="A340" s="12" t="str">
        <x:v>P26-REQ-339</x:v>
      </x:c>
      <x:c r="B340" s="12" t="str">
        <x:v>P26-TST-339</x:v>
      </x:c>
      <x:c r="C340" s="12" t="str">
        <x:v>P25-MOD-003</x:v>
      </x:c>
      <x:c r="D340" s="12" t="str">
        <x:v>P26-MOD-009</x:v>
      </x:c>
      <x:c r="E340" s="12" t="str">
        <x:v>Mapped</x:v>
      </x:c>
    </x:row>
    <x:row r="341">
      <x:c r="A341" s="12" t="str">
        <x:v>P26-REQ-340</x:v>
      </x:c>
      <x:c r="B341" s="12" t="str">
        <x:v>P26-TST-340</x:v>
      </x:c>
      <x:c r="C341" s="12" t="str">
        <x:v>P25-MOD-004</x:v>
      </x:c>
      <x:c r="D341" s="12" t="str">
        <x:v>P26-MOD-010</x:v>
      </x:c>
      <x:c r="E341" s="12" t="str">
        <x:v>Mapped</x:v>
      </x:c>
    </x:row>
    <x:row r="342">
      <x:c r="A342" s="12" t="str">
        <x:v>P26-REQ-341</x:v>
      </x:c>
      <x:c r="B342" s="12" t="str">
        <x:v>P26-TST-341</x:v>
      </x:c>
      <x:c r="C342" s="12" t="str">
        <x:v>P25-MOD-005</x:v>
      </x:c>
      <x:c r="D342" s="12" t="str">
        <x:v>P26-MOD-011</x:v>
      </x:c>
      <x:c r="E342" s="12" t="str">
        <x:v>Mapped</x:v>
      </x:c>
    </x:row>
    <x:row r="343">
      <x:c r="A343" s="12" t="str">
        <x:v>P26-REQ-342</x:v>
      </x:c>
      <x:c r="B343" s="12" t="str">
        <x:v>P26-TST-342</x:v>
      </x:c>
      <x:c r="C343" s="12" t="str">
        <x:v>P25-MOD-006</x:v>
      </x:c>
      <x:c r="D343" s="12" t="str">
        <x:v>P26-MOD-012</x:v>
      </x:c>
      <x:c r="E343" s="12" t="str">
        <x:v>Mapped</x:v>
      </x:c>
    </x:row>
    <x:row r="344">
      <x:c r="A344" s="12" t="str">
        <x:v>P26-REQ-343</x:v>
      </x:c>
      <x:c r="B344" s="12" t="str">
        <x:v>P26-TST-343</x:v>
      </x:c>
      <x:c r="C344" s="12" t="str">
        <x:v>P25-MOD-007</x:v>
      </x:c>
      <x:c r="D344" s="12" t="str">
        <x:v>P26-MOD-013</x:v>
      </x:c>
      <x:c r="E344" s="12" t="str">
        <x:v>Mapped</x:v>
      </x:c>
    </x:row>
    <x:row r="345">
      <x:c r="A345" s="12" t="str">
        <x:v>P26-REQ-344</x:v>
      </x:c>
      <x:c r="B345" s="12" t="str">
        <x:v>P26-TST-344</x:v>
      </x:c>
      <x:c r="C345" s="12" t="str">
        <x:v>P25-MOD-008</x:v>
      </x:c>
      <x:c r="D345" s="12" t="str">
        <x:v>P26-MOD-014</x:v>
      </x:c>
      <x:c r="E345" s="12" t="str">
        <x:v>Mapped</x:v>
      </x:c>
    </x:row>
    <x:row r="346">
      <x:c r="A346" s="12" t="str">
        <x:v>P26-REQ-345</x:v>
      </x:c>
      <x:c r="B346" s="12" t="str">
        <x:v>P26-TST-345</x:v>
      </x:c>
      <x:c r="C346" s="12" t="str">
        <x:v>P25-MOD-009</x:v>
      </x:c>
      <x:c r="D346" s="12" t="str">
        <x:v>P26-MOD-015</x:v>
      </x:c>
      <x:c r="E346" s="12" t="str">
        <x:v>Mapped</x:v>
      </x:c>
    </x:row>
    <x:row r="347">
      <x:c r="A347" s="12" t="str">
        <x:v>P26-REQ-346</x:v>
      </x:c>
      <x:c r="B347" s="12" t="str">
        <x:v>P26-TST-346</x:v>
      </x:c>
      <x:c r="C347" s="12" t="str">
        <x:v>P25-MOD-010</x:v>
      </x:c>
      <x:c r="D347" s="12" t="str">
        <x:v>P26-MOD-016</x:v>
      </x:c>
      <x:c r="E347" s="12" t="str">
        <x:v>Mapped</x:v>
      </x:c>
    </x:row>
    <x:row r="348">
      <x:c r="A348" s="12" t="str">
        <x:v>P26-REQ-347</x:v>
      </x:c>
      <x:c r="B348" s="12" t="str">
        <x:v>P26-TST-347</x:v>
      </x:c>
      <x:c r="C348" s="12" t="str">
        <x:v>P25-MOD-011</x:v>
      </x:c>
      <x:c r="D348" s="12" t="str">
        <x:v>P26-MOD-017</x:v>
      </x:c>
      <x:c r="E348" s="12" t="str">
        <x:v>Mapped</x:v>
      </x:c>
    </x:row>
    <x:row r="349">
      <x:c r="A349" s="12" t="str">
        <x:v>P26-REQ-348</x:v>
      </x:c>
      <x:c r="B349" s="12" t="str">
        <x:v>P26-TST-348</x:v>
      </x:c>
      <x:c r="C349" s="12" t="str">
        <x:v>P25-MOD-012</x:v>
      </x:c>
      <x:c r="D349" s="12" t="str">
        <x:v>P26-MOD-018</x:v>
      </x:c>
      <x:c r="E349" s="12" t="str">
        <x:v>Mapped</x:v>
      </x:c>
    </x:row>
    <x:row r="350">
      <x:c r="A350" s="12" t="str">
        <x:v>P26-REQ-349</x:v>
      </x:c>
      <x:c r="B350" s="12" t="str">
        <x:v>P26-TST-349</x:v>
      </x:c>
      <x:c r="C350" s="12" t="str">
        <x:v>P25-MOD-013</x:v>
      </x:c>
      <x:c r="D350" s="12" t="str">
        <x:v>P26-MOD-019</x:v>
      </x:c>
      <x:c r="E350" s="12" t="str">
        <x:v>Mapped</x:v>
      </x:c>
    </x:row>
    <x:row r="351">
      <x:c r="A351" s="12" t="str">
        <x:v>P26-REQ-350</x:v>
      </x:c>
      <x:c r="B351" s="12" t="str">
        <x:v>P26-TST-350</x:v>
      </x:c>
      <x:c r="C351" s="12" t="str">
        <x:v>P25-MOD-014</x:v>
      </x:c>
      <x:c r="D351" s="12" t="str">
        <x:v>P26-MOD-020</x:v>
      </x:c>
      <x:c r="E351" s="12" t="str">
        <x:v>Mapped</x:v>
      </x:c>
    </x:row>
    <x:row r="352">
      <x:c r="A352" s="12" t="str">
        <x:v>P26-REQ-351</x:v>
      </x:c>
      <x:c r="B352" s="12" t="str">
        <x:v>P26-TST-351</x:v>
      </x:c>
      <x:c r="C352" s="12" t="str">
        <x:v>P25-MOD-015</x:v>
      </x:c>
      <x:c r="D352" s="12" t="str">
        <x:v>P26-MOD-021</x:v>
      </x:c>
      <x:c r="E352" s="12" t="str">
        <x:v>Mapped</x:v>
      </x:c>
    </x:row>
    <x:row r="353">
      <x:c r="A353" s="12" t="str">
        <x:v>P26-REQ-352</x:v>
      </x:c>
      <x:c r="B353" s="12" t="str">
        <x:v>P26-TST-352</x:v>
      </x:c>
      <x:c r="C353" s="12" t="str">
        <x:v>P25-MOD-016</x:v>
      </x:c>
      <x:c r="D353" s="12" t="str">
        <x:v>P26-MOD-022</x:v>
      </x:c>
      <x:c r="E353" s="12" t="str">
        <x:v>Mapped</x:v>
      </x:c>
    </x:row>
    <x:row r="354">
      <x:c r="A354" s="12" t="str">
        <x:v>P26-REQ-353</x:v>
      </x:c>
      <x:c r="B354" s="12" t="str">
        <x:v>P26-TST-353</x:v>
      </x:c>
      <x:c r="C354" s="12" t="str">
        <x:v>P25-MOD-017</x:v>
      </x:c>
      <x:c r="D354" s="12" t="str">
        <x:v>P26-MOD-023</x:v>
      </x:c>
      <x:c r="E354" s="12" t="str">
        <x:v>Mapped</x:v>
      </x:c>
    </x:row>
    <x:row r="355">
      <x:c r="A355" s="12" t="str">
        <x:v>P26-REQ-354</x:v>
      </x:c>
      <x:c r="B355" s="12" t="str">
        <x:v>P26-TST-354</x:v>
      </x:c>
      <x:c r="C355" s="12" t="str">
        <x:v>P25-MOD-018</x:v>
      </x:c>
      <x:c r="D355" s="12" t="str">
        <x:v>P26-MOD-024</x:v>
      </x:c>
      <x:c r="E355" s="12" t="str">
        <x:v>Mapped</x:v>
      </x:c>
    </x:row>
    <x:row r="356">
      <x:c r="A356" s="12" t="str">
        <x:v>P26-REQ-355</x:v>
      </x:c>
      <x:c r="B356" s="12" t="str">
        <x:v>P26-TST-355</x:v>
      </x:c>
      <x:c r="C356" s="12" t="str">
        <x:v>P25-MOD-019</x:v>
      </x:c>
      <x:c r="D356" s="12" t="str">
        <x:v>P26-MOD-025</x:v>
      </x:c>
      <x:c r="E356" s="12" t="str">
        <x:v>Mapped</x:v>
      </x:c>
    </x:row>
    <x:row r="357">
      <x:c r="A357" s="12" t="str">
        <x:v>P26-REQ-356</x:v>
      </x:c>
      <x:c r="B357" s="12" t="str">
        <x:v>P26-TST-356</x:v>
      </x:c>
      <x:c r="C357" s="12" t="str">
        <x:v>P25-MOD-020</x:v>
      </x:c>
      <x:c r="D357" s="12" t="str">
        <x:v>P26-MOD-026</x:v>
      </x:c>
      <x:c r="E357" s="12" t="str">
        <x:v>Mapped</x:v>
      </x:c>
    </x:row>
    <x:row r="358">
      <x:c r="A358" s="12" t="str">
        <x:v>P26-REQ-357</x:v>
      </x:c>
      <x:c r="B358" s="12" t="str">
        <x:v>P26-TST-357</x:v>
      </x:c>
      <x:c r="C358" s="12" t="str">
        <x:v>P25-MOD-021</x:v>
      </x:c>
      <x:c r="D358" s="12" t="str">
        <x:v>P26-MOD-027</x:v>
      </x:c>
      <x:c r="E358" s="12" t="str">
        <x:v>Mapped</x:v>
      </x:c>
    </x:row>
    <x:row r="359">
      <x:c r="A359" s="12" t="str">
        <x:v>P26-REQ-358</x:v>
      </x:c>
      <x:c r="B359" s="12" t="str">
        <x:v>P26-TST-358</x:v>
      </x:c>
      <x:c r="C359" s="12" t="str">
        <x:v>P25-MOD-022</x:v>
      </x:c>
      <x:c r="D359" s="12" t="str">
        <x:v>P26-MOD-028</x:v>
      </x:c>
      <x:c r="E359" s="12" t="str">
        <x:v>Mapped</x:v>
      </x:c>
    </x:row>
    <x:row r="360">
      <x:c r="A360" s="12" t="str">
        <x:v>P26-REQ-359</x:v>
      </x:c>
      <x:c r="B360" s="12" t="str">
        <x:v>P26-TST-359</x:v>
      </x:c>
      <x:c r="C360" s="12" t="str">
        <x:v>P25-MOD-023</x:v>
      </x:c>
      <x:c r="D360" s="12" t="str">
        <x:v>P26-MOD-029</x:v>
      </x:c>
      <x:c r="E360" s="12" t="str">
        <x:v>Mapped</x:v>
      </x:c>
    </x:row>
    <x:row r="361">
      <x:c r="A361" s="12" t="str">
        <x:v>P26-REQ-360</x:v>
      </x:c>
      <x:c r="B361" s="12" t="str">
        <x:v>P26-TST-360</x:v>
      </x:c>
      <x:c r="C361" s="12" t="str">
        <x:v>P25-MOD-024</x:v>
      </x:c>
      <x:c r="D361" s="12" t="str">
        <x:v>P26-MOD-030</x:v>
      </x:c>
      <x:c r="E361" s="12" t="str">
        <x:v>Mapped</x:v>
      </x:c>
    </x:row>
    <x:row r="362">
      <x:c r="A362" s="12" t="str">
        <x:v>P26-REQ-361</x:v>
      </x:c>
      <x:c r="B362" s="12" t="str">
        <x:v>P26-TST-361</x:v>
      </x:c>
      <x:c r="C362" s="12" t="str">
        <x:v>P25-MOD-001</x:v>
      </x:c>
      <x:c r="D362" s="12" t="str">
        <x:v>P26-MOD-001</x:v>
      </x:c>
      <x:c r="E362" s="12" t="str">
        <x:v>Mapped</x:v>
      </x:c>
    </x:row>
    <x:row r="363">
      <x:c r="A363" s="12" t="str">
        <x:v>P26-REQ-362</x:v>
      </x:c>
      <x:c r="B363" s="12" t="str">
        <x:v>P26-TST-362</x:v>
      </x:c>
      <x:c r="C363" s="12" t="str">
        <x:v>P25-MOD-002</x:v>
      </x:c>
      <x:c r="D363" s="12" t="str">
        <x:v>P26-MOD-002</x:v>
      </x:c>
      <x:c r="E363" s="12" t="str">
        <x:v>Mapped</x:v>
      </x:c>
    </x:row>
    <x:row r="364">
      <x:c r="A364" s="12" t="str">
        <x:v>P26-REQ-363</x:v>
      </x:c>
      <x:c r="B364" s="12" t="str">
        <x:v>P26-TST-363</x:v>
      </x:c>
      <x:c r="C364" s="12" t="str">
        <x:v>P25-MOD-003</x:v>
      </x:c>
      <x:c r="D364" s="12" t="str">
        <x:v>P26-MOD-003</x:v>
      </x:c>
      <x:c r="E364" s="12" t="str">
        <x:v>Mapped</x:v>
      </x:c>
    </x:row>
    <x:row r="365">
      <x:c r="A365" s="12" t="str">
        <x:v>P26-REQ-364</x:v>
      </x:c>
      <x:c r="B365" s="12" t="str">
        <x:v>P26-TST-364</x:v>
      </x:c>
      <x:c r="C365" s="12" t="str">
        <x:v>P25-MOD-004</x:v>
      </x:c>
      <x:c r="D365" s="12" t="str">
        <x:v>P26-MOD-004</x:v>
      </x:c>
      <x:c r="E365" s="12" t="str">
        <x:v>Mapped</x:v>
      </x:c>
    </x:row>
    <x:row r="366">
      <x:c r="A366" s="12" t="str">
        <x:v>P26-REQ-365</x:v>
      </x:c>
      <x:c r="B366" s="12" t="str">
        <x:v>P26-TST-365</x:v>
      </x:c>
      <x:c r="C366" s="12" t="str">
        <x:v>P25-MOD-005</x:v>
      </x:c>
      <x:c r="D366" s="12" t="str">
        <x:v>P26-MOD-005</x:v>
      </x:c>
      <x:c r="E366" s="12" t="str">
        <x:v>Mapped</x:v>
      </x:c>
    </x:row>
    <x:row r="367">
      <x:c r="A367" s="12" t="str">
        <x:v>P26-REQ-366</x:v>
      </x:c>
      <x:c r="B367" s="12" t="str">
        <x:v>P26-TST-366</x:v>
      </x:c>
      <x:c r="C367" s="12" t="str">
        <x:v>P25-MOD-006</x:v>
      </x:c>
      <x:c r="D367" s="12" t="str">
        <x:v>P26-MOD-006</x:v>
      </x:c>
      <x:c r="E367" s="12" t="str">
        <x:v>Mapped</x:v>
      </x:c>
    </x:row>
    <x:row r="368">
      <x:c r="A368" s="12" t="str">
        <x:v>P26-REQ-367</x:v>
      </x:c>
      <x:c r="B368" s="12" t="str">
        <x:v>P26-TST-367</x:v>
      </x:c>
      <x:c r="C368" s="12" t="str">
        <x:v>P25-MOD-007</x:v>
      </x:c>
      <x:c r="D368" s="12" t="str">
        <x:v>P26-MOD-007</x:v>
      </x:c>
      <x:c r="E368" s="12" t="str">
        <x:v>Mapped</x:v>
      </x:c>
    </x:row>
    <x:row r="369">
      <x:c r="A369" s="12" t="str">
        <x:v>P26-REQ-368</x:v>
      </x:c>
      <x:c r="B369" s="12" t="str">
        <x:v>P26-TST-368</x:v>
      </x:c>
      <x:c r="C369" s="12" t="str">
        <x:v>P25-MOD-008</x:v>
      </x:c>
      <x:c r="D369" s="12" t="str">
        <x:v>P26-MOD-008</x:v>
      </x:c>
      <x:c r="E369" s="12" t="str">
        <x:v>Mapped</x:v>
      </x:c>
    </x:row>
    <x:row r="370">
      <x:c r="A370" s="12" t="str">
        <x:v>P26-REQ-369</x:v>
      </x:c>
      <x:c r="B370" s="12" t="str">
        <x:v>P26-TST-369</x:v>
      </x:c>
      <x:c r="C370" s="12" t="str">
        <x:v>P25-MOD-009</x:v>
      </x:c>
      <x:c r="D370" s="12" t="str">
        <x:v>P26-MOD-009</x:v>
      </x:c>
      <x:c r="E370" s="12" t="str">
        <x:v>Mapped</x:v>
      </x:c>
    </x:row>
    <x:row r="371">
      <x:c r="A371" s="12" t="str">
        <x:v>P26-REQ-370</x:v>
      </x:c>
      <x:c r="B371" s="12" t="str">
        <x:v>P26-TST-370</x:v>
      </x:c>
      <x:c r="C371" s="12" t="str">
        <x:v>P25-MOD-010</x:v>
      </x:c>
      <x:c r="D371" s="12" t="str">
        <x:v>P26-MOD-010</x:v>
      </x:c>
      <x:c r="E371" s="12" t="str">
        <x:v>Mapped</x:v>
      </x:c>
    </x:row>
    <x:row r="372">
      <x:c r="A372" s="12" t="str">
        <x:v>P26-REQ-371</x:v>
      </x:c>
      <x:c r="B372" s="12" t="str">
        <x:v>P26-TST-371</x:v>
      </x:c>
      <x:c r="C372" s="12" t="str">
        <x:v>P25-MOD-011</x:v>
      </x:c>
      <x:c r="D372" s="12" t="str">
        <x:v>P26-MOD-011</x:v>
      </x:c>
      <x:c r="E372" s="12" t="str">
        <x:v>Mapped</x:v>
      </x:c>
    </x:row>
    <x:row r="373">
      <x:c r="A373" s="12" t="str">
        <x:v>P26-REQ-372</x:v>
      </x:c>
      <x:c r="B373" s="12" t="str">
        <x:v>P26-TST-372</x:v>
      </x:c>
      <x:c r="C373" s="12" t="str">
        <x:v>P25-MOD-012</x:v>
      </x:c>
      <x:c r="D373" s="12" t="str">
        <x:v>P26-MOD-012</x:v>
      </x:c>
      <x:c r="E373" s="12" t="str">
        <x:v>Mapped</x:v>
      </x:c>
    </x:row>
    <x:row r="374">
      <x:c r="A374" s="12" t="str">
        <x:v>P26-REQ-373</x:v>
      </x:c>
      <x:c r="B374" s="12" t="str">
        <x:v>P26-TST-373</x:v>
      </x:c>
      <x:c r="C374" s="12" t="str">
        <x:v>P25-MOD-013</x:v>
      </x:c>
      <x:c r="D374" s="12" t="str">
        <x:v>P26-MOD-013</x:v>
      </x:c>
      <x:c r="E374" s="12" t="str">
        <x:v>Mapped</x:v>
      </x:c>
    </x:row>
    <x:row r="375">
      <x:c r="A375" s="12" t="str">
        <x:v>P26-REQ-374</x:v>
      </x:c>
      <x:c r="B375" s="12" t="str">
        <x:v>P26-TST-374</x:v>
      </x:c>
      <x:c r="C375" s="12" t="str">
        <x:v>P25-MOD-014</x:v>
      </x:c>
      <x:c r="D375" s="12" t="str">
        <x:v>P26-MOD-014</x:v>
      </x:c>
      <x:c r="E375" s="12" t="str">
        <x:v>Mapped</x:v>
      </x:c>
    </x:row>
    <x:row r="376">
      <x:c r="A376" s="12" t="str">
        <x:v>P26-REQ-375</x:v>
      </x:c>
      <x:c r="B376" s="12" t="str">
        <x:v>P26-TST-375</x:v>
      </x:c>
      <x:c r="C376" s="12" t="str">
        <x:v>P25-MOD-015</x:v>
      </x:c>
      <x:c r="D376" s="12" t="str">
        <x:v>P26-MOD-015</x:v>
      </x:c>
      <x:c r="E376" s="12" t="str">
        <x:v>Mapped</x:v>
      </x:c>
    </x:row>
    <x:row r="377">
      <x:c r="A377" s="12" t="str">
        <x:v>P26-REQ-376</x:v>
      </x:c>
      <x:c r="B377" s="12" t="str">
        <x:v>P26-TST-376</x:v>
      </x:c>
      <x:c r="C377" s="12" t="str">
        <x:v>P25-MOD-016</x:v>
      </x:c>
      <x:c r="D377" s="12" t="str">
        <x:v>P26-MOD-016</x:v>
      </x:c>
      <x:c r="E377" s="12" t="str">
        <x:v>Mapped</x:v>
      </x:c>
    </x:row>
    <x:row r="378">
      <x:c r="A378" s="12" t="str">
        <x:v>P26-REQ-377</x:v>
      </x:c>
      <x:c r="B378" s="12" t="str">
        <x:v>P26-TST-377</x:v>
      </x:c>
      <x:c r="C378" s="12" t="str">
        <x:v>P25-MOD-017</x:v>
      </x:c>
      <x:c r="D378" s="12" t="str">
        <x:v>P26-MOD-017</x:v>
      </x:c>
      <x:c r="E378" s="12" t="str">
        <x:v>Mapped</x:v>
      </x:c>
    </x:row>
    <x:row r="379">
      <x:c r="A379" s="12" t="str">
        <x:v>P26-REQ-378</x:v>
      </x:c>
      <x:c r="B379" s="12" t="str">
        <x:v>P26-TST-378</x:v>
      </x:c>
      <x:c r="C379" s="12" t="str">
        <x:v>P25-MOD-018</x:v>
      </x:c>
      <x:c r="D379" s="12" t="str">
        <x:v>P26-MOD-018</x:v>
      </x:c>
      <x:c r="E379" s="12" t="str">
        <x:v>Mapped</x:v>
      </x:c>
    </x:row>
    <x:row r="380">
      <x:c r="A380" s="12" t="str">
        <x:v>P26-REQ-379</x:v>
      </x:c>
      <x:c r="B380" s="12" t="str">
        <x:v>P26-TST-379</x:v>
      </x:c>
      <x:c r="C380" s="12" t="str">
        <x:v>P25-MOD-019</x:v>
      </x:c>
      <x:c r="D380" s="12" t="str">
        <x:v>P26-MOD-019</x:v>
      </x:c>
      <x:c r="E380" s="12" t="str">
        <x:v>Mapped</x:v>
      </x:c>
    </x:row>
    <x:row r="381">
      <x:c r="A381" s="12" t="str">
        <x:v>P26-REQ-380</x:v>
      </x:c>
      <x:c r="B381" s="12" t="str">
        <x:v>P26-TST-380</x:v>
      </x:c>
      <x:c r="C381" s="12" t="str">
        <x:v>P25-MOD-020</x:v>
      </x:c>
      <x:c r="D381" s="12" t="str">
        <x:v>P26-MOD-020</x:v>
      </x:c>
      <x:c r="E381" s="12" t="str">
        <x:v>Mapped</x:v>
      </x:c>
    </x:row>
    <x:row r="382">
      <x:c r="A382" s="12" t="str">
        <x:v>P26-REQ-381</x:v>
      </x:c>
      <x:c r="B382" s="12" t="str">
        <x:v>P26-TST-381</x:v>
      </x:c>
      <x:c r="C382" s="12" t="str">
        <x:v>P25-MOD-021</x:v>
      </x:c>
      <x:c r="D382" s="12" t="str">
        <x:v>P26-MOD-021</x:v>
      </x:c>
      <x:c r="E382" s="12" t="str">
        <x:v>Mapped</x:v>
      </x:c>
    </x:row>
    <x:row r="383">
      <x:c r="A383" s="12" t="str">
        <x:v>P26-REQ-382</x:v>
      </x:c>
      <x:c r="B383" s="12" t="str">
        <x:v>P26-TST-382</x:v>
      </x:c>
      <x:c r="C383" s="12" t="str">
        <x:v>P25-MOD-022</x:v>
      </x:c>
      <x:c r="D383" s="12" t="str">
        <x:v>P26-MOD-022</x:v>
      </x:c>
      <x:c r="E383" s="12" t="str">
        <x:v>Mapped</x:v>
      </x:c>
    </x:row>
    <x:row r="384">
      <x:c r="A384" s="12" t="str">
        <x:v>P26-REQ-383</x:v>
      </x:c>
      <x:c r="B384" s="12" t="str">
        <x:v>P26-TST-383</x:v>
      </x:c>
      <x:c r="C384" s="12" t="str">
        <x:v>P25-MOD-023</x:v>
      </x:c>
      <x:c r="D384" s="12" t="str">
        <x:v>P26-MOD-023</x:v>
      </x:c>
      <x:c r="E384" s="12" t="str">
        <x:v>Mapped</x:v>
      </x:c>
    </x:row>
    <x:row r="385">
      <x:c r="A385" s="12" t="str">
        <x:v>P26-REQ-384</x:v>
      </x:c>
      <x:c r="B385" s="12" t="str">
        <x:v>P26-TST-384</x:v>
      </x:c>
      <x:c r="C385" s="12" t="str">
        <x:v>P25-MOD-024</x:v>
      </x:c>
      <x:c r="D385" s="12" t="str">
        <x:v>P26-MOD-024</x:v>
      </x:c>
      <x:c r="E385" s="12" t="str">
        <x:v>Mapped</x:v>
      </x:c>
    </x:row>
    <x:row r="386">
      <x:c r="A386" s="12" t="str">
        <x:v>P26-REQ-385</x:v>
      </x:c>
      <x:c r="B386" s="12" t="str">
        <x:v>P26-TST-385</x:v>
      </x:c>
      <x:c r="C386" s="12" t="str">
        <x:v>P25-MOD-001</x:v>
      </x:c>
      <x:c r="D386" s="12" t="str">
        <x:v>P26-MOD-025</x:v>
      </x:c>
      <x:c r="E386" s="12" t="str">
        <x:v>Mapped</x:v>
      </x:c>
    </x:row>
    <x:row r="387">
      <x:c r="A387" s="12" t="str">
        <x:v>P26-REQ-386</x:v>
      </x:c>
      <x:c r="B387" s="12" t="str">
        <x:v>P26-TST-386</x:v>
      </x:c>
      <x:c r="C387" s="12" t="str">
        <x:v>P25-MOD-002</x:v>
      </x:c>
      <x:c r="D387" s="12" t="str">
        <x:v>P26-MOD-026</x:v>
      </x:c>
      <x:c r="E387" s="12" t="str">
        <x:v>Mapped</x:v>
      </x:c>
    </x:row>
    <x:row r="388">
      <x:c r="A388" s="12" t="str">
        <x:v>P26-REQ-387</x:v>
      </x:c>
      <x:c r="B388" s="12" t="str">
        <x:v>P26-TST-387</x:v>
      </x:c>
      <x:c r="C388" s="12" t="str">
        <x:v>P25-MOD-003</x:v>
      </x:c>
      <x:c r="D388" s="12" t="str">
        <x:v>P26-MOD-027</x:v>
      </x:c>
      <x:c r="E388" s="12" t="str">
        <x:v>Mapped</x:v>
      </x:c>
    </x:row>
    <x:row r="389">
      <x:c r="A389" s="12" t="str">
        <x:v>P26-REQ-388</x:v>
      </x:c>
      <x:c r="B389" s="12" t="str">
        <x:v>P26-TST-388</x:v>
      </x:c>
      <x:c r="C389" s="12" t="str">
        <x:v>P25-MOD-004</x:v>
      </x:c>
      <x:c r="D389" s="12" t="str">
        <x:v>P26-MOD-028</x:v>
      </x:c>
      <x:c r="E389" s="12" t="str">
        <x:v>Mapped</x:v>
      </x:c>
    </x:row>
    <x:row r="390">
      <x:c r="A390" s="12" t="str">
        <x:v>P26-REQ-389</x:v>
      </x:c>
      <x:c r="B390" s="12" t="str">
        <x:v>P26-TST-389</x:v>
      </x:c>
      <x:c r="C390" s="12" t="str">
        <x:v>P25-MOD-005</x:v>
      </x:c>
      <x:c r="D390" s="12" t="str">
        <x:v>P26-MOD-029</x:v>
      </x:c>
      <x:c r="E390" s="12" t="str">
        <x:v>Mapped</x:v>
      </x:c>
    </x:row>
    <x:row r="391">
      <x:c r="A391" s="12" t="str">
        <x:v>P26-REQ-390</x:v>
      </x:c>
      <x:c r="B391" s="12" t="str">
        <x:v>P26-TST-390</x:v>
      </x:c>
      <x:c r="C391" s="12" t="str">
        <x:v>P25-MOD-006</x:v>
      </x:c>
      <x:c r="D391" s="12" t="str">
        <x:v>P26-MOD-030</x:v>
      </x:c>
      <x:c r="E391" s="12" t="str">
        <x:v>Mapped</x:v>
      </x:c>
    </x:row>
    <x:row r="392">
      <x:c r="A392" s="12" t="str">
        <x:v>P26-REQ-391</x:v>
      </x:c>
      <x:c r="B392" s="12" t="str">
        <x:v>P26-TST-391</x:v>
      </x:c>
      <x:c r="C392" s="12" t="str">
        <x:v>P25-MOD-007</x:v>
      </x:c>
      <x:c r="D392" s="12" t="str">
        <x:v>P26-MOD-001</x:v>
      </x:c>
      <x:c r="E392" s="12" t="str">
        <x:v>Mapped</x:v>
      </x:c>
    </x:row>
    <x:row r="393">
      <x:c r="A393" s="12" t="str">
        <x:v>P26-REQ-392</x:v>
      </x:c>
      <x:c r="B393" s="12" t="str">
        <x:v>P26-TST-392</x:v>
      </x:c>
      <x:c r="C393" s="12" t="str">
        <x:v>P25-MOD-008</x:v>
      </x:c>
      <x:c r="D393" s="12" t="str">
        <x:v>P26-MOD-002</x:v>
      </x:c>
      <x:c r="E393" s="12" t="str">
        <x:v>Mapped</x:v>
      </x:c>
    </x:row>
    <x:row r="394">
      <x:c r="A394" s="12" t="str">
        <x:v>P26-REQ-393</x:v>
      </x:c>
      <x:c r="B394" s="12" t="str">
        <x:v>P26-TST-393</x:v>
      </x:c>
      <x:c r="C394" s="12" t="str">
        <x:v>P25-MOD-009</x:v>
      </x:c>
      <x:c r="D394" s="12" t="str">
        <x:v>P26-MOD-003</x:v>
      </x:c>
      <x:c r="E394" s="12" t="str">
        <x:v>Mapped</x:v>
      </x:c>
    </x:row>
    <x:row r="395">
      <x:c r="A395" s="12" t="str">
        <x:v>P26-REQ-394</x:v>
      </x:c>
      <x:c r="B395" s="12" t="str">
        <x:v>P26-TST-394</x:v>
      </x:c>
      <x:c r="C395" s="12" t="str">
        <x:v>P25-MOD-010</x:v>
      </x:c>
      <x:c r="D395" s="12" t="str">
        <x:v>P26-MOD-004</x:v>
      </x:c>
      <x:c r="E395" s="12" t="str">
        <x:v>Mapped</x:v>
      </x:c>
    </x:row>
    <x:row r="396">
      <x:c r="A396" s="12" t="str">
        <x:v>P26-REQ-395</x:v>
      </x:c>
      <x:c r="B396" s="12" t="str">
        <x:v>P26-TST-395</x:v>
      </x:c>
      <x:c r="C396" s="12" t="str">
        <x:v>P25-MOD-011</x:v>
      </x:c>
      <x:c r="D396" s="12" t="str">
        <x:v>P26-MOD-005</x:v>
      </x:c>
      <x:c r="E396" s="12" t="str">
        <x:v>Mapped</x:v>
      </x:c>
    </x:row>
    <x:row r="397">
      <x:c r="A397" s="12" t="str">
        <x:v>P26-REQ-396</x:v>
      </x:c>
      <x:c r="B397" s="12" t="str">
        <x:v>P26-TST-396</x:v>
      </x:c>
      <x:c r="C397" s="12" t="str">
        <x:v>P25-MOD-012</x:v>
      </x:c>
      <x:c r="D397" s="12" t="str">
        <x:v>P26-MOD-006</x:v>
      </x:c>
      <x:c r="E397" s="12" t="str">
        <x:v>Mapped</x:v>
      </x:c>
    </x:row>
    <x:row r="398">
      <x:c r="A398" s="12" t="str">
        <x:v>P26-REQ-397</x:v>
      </x:c>
      <x:c r="B398" s="12" t="str">
        <x:v>P26-TST-397</x:v>
      </x:c>
      <x:c r="C398" s="12" t="str">
        <x:v>P25-MOD-013</x:v>
      </x:c>
      <x:c r="D398" s="12" t="str">
        <x:v>P26-MOD-007</x:v>
      </x:c>
      <x:c r="E398" s="12" t="str">
        <x:v>Mapped</x:v>
      </x:c>
    </x:row>
    <x:row r="399">
      <x:c r="A399" s="12" t="str">
        <x:v>P26-REQ-398</x:v>
      </x:c>
      <x:c r="B399" s="12" t="str">
        <x:v>P26-TST-398</x:v>
      </x:c>
      <x:c r="C399" s="12" t="str">
        <x:v>P25-MOD-014</x:v>
      </x:c>
      <x:c r="D399" s="12" t="str">
        <x:v>P26-MOD-008</x:v>
      </x:c>
      <x:c r="E399" s="12" t="str">
        <x:v>Mapped</x:v>
      </x:c>
    </x:row>
    <x:row r="400">
      <x:c r="A400" s="12" t="str">
        <x:v>P26-REQ-399</x:v>
      </x:c>
      <x:c r="B400" s="12" t="str">
        <x:v>P26-TST-399</x:v>
      </x:c>
      <x:c r="C400" s="12" t="str">
        <x:v>P25-MOD-015</x:v>
      </x:c>
      <x:c r="D400" s="12" t="str">
        <x:v>P26-MOD-009</x:v>
      </x:c>
      <x:c r="E400" s="12" t="str">
        <x:v>Mapped</x:v>
      </x:c>
    </x:row>
    <x:row r="401">
      <x:c r="A401" s="12" t="str">
        <x:v>P26-REQ-400</x:v>
      </x:c>
      <x:c r="B401" s="12" t="str">
        <x:v>P26-TST-400</x:v>
      </x:c>
      <x:c r="C401" s="12" t="str">
        <x:v>P25-MOD-016</x:v>
      </x:c>
      <x:c r="D401" s="12" t="str">
        <x:v>P26-MOD-010</x:v>
      </x:c>
      <x:c r="E401" s="12" t="str">
        <x:v>Mapped</x:v>
      </x:c>
    </x:row>
    <x:row r="402">
      <x:c r="A402" s="12" t="str">
        <x:v>P26-REQ-401</x:v>
      </x:c>
      <x:c r="B402" s="12" t="str">
        <x:v>P26-TST-401</x:v>
      </x:c>
      <x:c r="C402" s="12" t="str">
        <x:v>P25-MOD-017</x:v>
      </x:c>
      <x:c r="D402" s="12" t="str">
        <x:v>P26-MOD-011</x:v>
      </x:c>
      <x:c r="E402" s="12" t="str">
        <x:v>Mapped</x:v>
      </x:c>
    </x:row>
    <x:row r="403">
      <x:c r="A403" s="12" t="str">
        <x:v>P26-REQ-402</x:v>
      </x:c>
      <x:c r="B403" s="12" t="str">
        <x:v>P26-TST-402</x:v>
      </x:c>
      <x:c r="C403" s="12" t="str">
        <x:v>P25-MOD-018</x:v>
      </x:c>
      <x:c r="D403" s="12" t="str">
        <x:v>P26-MOD-012</x:v>
      </x:c>
      <x:c r="E403" s="12" t="str">
        <x:v>Mapped</x:v>
      </x:c>
    </x:row>
    <x:row r="404">
      <x:c r="A404" s="12" t="str">
        <x:v>P26-REQ-403</x:v>
      </x:c>
      <x:c r="B404" s="12" t="str">
        <x:v>P26-TST-403</x:v>
      </x:c>
      <x:c r="C404" s="12" t="str">
        <x:v>P25-MOD-019</x:v>
      </x:c>
      <x:c r="D404" s="12" t="str">
        <x:v>P26-MOD-013</x:v>
      </x:c>
      <x:c r="E404" s="12" t="str">
        <x:v>Mapped</x:v>
      </x:c>
    </x:row>
    <x:row r="405">
      <x:c r="A405" s="12" t="str">
        <x:v>P26-REQ-404</x:v>
      </x:c>
      <x:c r="B405" s="12" t="str">
        <x:v>P26-TST-404</x:v>
      </x:c>
      <x:c r="C405" s="12" t="str">
        <x:v>P25-MOD-020</x:v>
      </x:c>
      <x:c r="D405" s="12" t="str">
        <x:v>P26-MOD-014</x:v>
      </x:c>
      <x:c r="E405" s="12" t="str">
        <x:v>Mapped</x:v>
      </x:c>
    </x:row>
    <x:row r="406">
      <x:c r="A406" s="12" t="str">
        <x:v>P26-REQ-405</x:v>
      </x:c>
      <x:c r="B406" s="12" t="str">
        <x:v>P26-TST-405</x:v>
      </x:c>
      <x:c r="C406" s="12" t="str">
        <x:v>P25-MOD-021</x:v>
      </x:c>
      <x:c r="D406" s="12" t="str">
        <x:v>P26-MOD-015</x:v>
      </x:c>
      <x:c r="E406" s="12" t="str">
        <x:v>Mapped</x:v>
      </x:c>
    </x:row>
    <x:row r="407">
      <x:c r="A407" s="12" t="str">
        <x:v>P26-REQ-406</x:v>
      </x:c>
      <x:c r="B407" s="12" t="str">
        <x:v>P26-TST-406</x:v>
      </x:c>
      <x:c r="C407" s="12" t="str">
        <x:v>P25-MOD-022</x:v>
      </x:c>
      <x:c r="D407" s="12" t="str">
        <x:v>P26-MOD-016</x:v>
      </x:c>
      <x:c r="E407" s="12" t="str">
        <x:v>Mapped</x:v>
      </x:c>
    </x:row>
    <x:row r="408">
      <x:c r="A408" s="12" t="str">
        <x:v>P26-REQ-407</x:v>
      </x:c>
      <x:c r="B408" s="12" t="str">
        <x:v>P26-TST-407</x:v>
      </x:c>
      <x:c r="C408" s="12" t="str">
        <x:v>P25-MOD-023</x:v>
      </x:c>
      <x:c r="D408" s="12" t="str">
        <x:v>P26-MOD-017</x:v>
      </x:c>
      <x:c r="E408" s="12" t="str">
        <x:v>Mapped</x:v>
      </x:c>
    </x:row>
    <x:row r="409">
      <x:c r="A409" s="12" t="str">
        <x:v>P26-REQ-408</x:v>
      </x:c>
      <x:c r="B409" s="12" t="str">
        <x:v>P26-TST-408</x:v>
      </x:c>
      <x:c r="C409" s="12" t="str">
        <x:v>P25-MOD-024</x:v>
      </x:c>
      <x:c r="D409" s="12" t="str">
        <x:v>P26-MOD-018</x:v>
      </x:c>
      <x:c r="E409" s="12" t="str">
        <x:v>Mapped</x:v>
      </x:c>
    </x:row>
    <x:row r="410">
      <x:c r="A410" s="12" t="str">
        <x:v>P26-REQ-409</x:v>
      </x:c>
      <x:c r="B410" s="12" t="str">
        <x:v>P26-TST-409</x:v>
      </x:c>
      <x:c r="C410" s="12" t="str">
        <x:v>P25-MOD-001</x:v>
      </x:c>
      <x:c r="D410" s="12" t="str">
        <x:v>P26-MOD-019</x:v>
      </x:c>
      <x:c r="E410" s="12" t="str">
        <x:v>Mapped</x:v>
      </x:c>
    </x:row>
    <x:row r="411">
      <x:c r="A411" s="12" t="str">
        <x:v>P26-REQ-410</x:v>
      </x:c>
      <x:c r="B411" s="12" t="str">
        <x:v>P26-TST-410</x:v>
      </x:c>
      <x:c r="C411" s="12" t="str">
        <x:v>P25-MOD-002</x:v>
      </x:c>
      <x:c r="D411" s="12" t="str">
        <x:v>P26-MOD-020</x:v>
      </x:c>
      <x:c r="E411" s="12" t="str">
        <x:v>Mapped</x:v>
      </x:c>
    </x:row>
    <x:row r="412">
      <x:c r="A412" s="12" t="str">
        <x:v>P26-REQ-411</x:v>
      </x:c>
      <x:c r="B412" s="12" t="str">
        <x:v>P26-TST-411</x:v>
      </x:c>
      <x:c r="C412" s="12" t="str">
        <x:v>P25-MOD-003</x:v>
      </x:c>
      <x:c r="D412" s="12" t="str">
        <x:v>P26-MOD-021</x:v>
      </x:c>
      <x:c r="E412" s="12" t="str">
        <x:v>Mapped</x:v>
      </x:c>
    </x:row>
    <x:row r="413">
      <x:c r="A413" s="12" t="str">
        <x:v>P26-REQ-412</x:v>
      </x:c>
      <x:c r="B413" s="12" t="str">
        <x:v>P26-TST-412</x:v>
      </x:c>
      <x:c r="C413" s="12" t="str">
        <x:v>P25-MOD-004</x:v>
      </x:c>
      <x:c r="D413" s="12" t="str">
        <x:v>P26-MOD-022</x:v>
      </x:c>
      <x:c r="E413" s="12" t="str">
        <x:v>Mapped</x:v>
      </x:c>
    </x:row>
    <x:row r="414">
      <x:c r="A414" s="12" t="str">
        <x:v>P26-REQ-413</x:v>
      </x:c>
      <x:c r="B414" s="12" t="str">
        <x:v>P26-TST-413</x:v>
      </x:c>
      <x:c r="C414" s="12" t="str">
        <x:v>P25-MOD-005</x:v>
      </x:c>
      <x:c r="D414" s="12" t="str">
        <x:v>P26-MOD-023</x:v>
      </x:c>
      <x:c r="E414" s="12" t="str">
        <x:v>Mapped</x:v>
      </x:c>
    </x:row>
    <x:row r="415">
      <x:c r="A415" s="12" t="str">
        <x:v>P26-REQ-414</x:v>
      </x:c>
      <x:c r="B415" s="12" t="str">
        <x:v>P26-TST-414</x:v>
      </x:c>
      <x:c r="C415" s="12" t="str">
        <x:v>P25-MOD-006</x:v>
      </x:c>
      <x:c r="D415" s="12" t="str">
        <x:v>P26-MOD-024</x:v>
      </x:c>
      <x:c r="E415" s="12" t="str">
        <x:v>Mapped</x:v>
      </x:c>
    </x:row>
    <x:row r="416">
      <x:c r="A416" s="12" t="str">
        <x:v>P26-REQ-415</x:v>
      </x:c>
      <x:c r="B416" s="12" t="str">
        <x:v>P26-TST-415</x:v>
      </x:c>
      <x:c r="C416" s="12" t="str">
        <x:v>P25-MOD-007</x:v>
      </x:c>
      <x:c r="D416" s="12" t="str">
        <x:v>P26-MOD-025</x:v>
      </x:c>
      <x:c r="E416" s="12" t="str">
        <x:v>Mapped</x:v>
      </x:c>
    </x:row>
    <x:row r="417">
      <x:c r="A417" s="12" t="str">
        <x:v>P26-REQ-416</x:v>
      </x:c>
      <x:c r="B417" s="12" t="str">
        <x:v>P26-TST-416</x:v>
      </x:c>
      <x:c r="C417" s="12" t="str">
        <x:v>P25-MOD-008</x:v>
      </x:c>
      <x:c r="D417" s="12" t="str">
        <x:v>P26-MOD-026</x:v>
      </x:c>
      <x:c r="E417" s="12" t="str">
        <x:v>Mapped</x:v>
      </x:c>
    </x:row>
    <x:row r="418">
      <x:c r="A418" s="12" t="str">
        <x:v>P26-REQ-417</x:v>
      </x:c>
      <x:c r="B418" s="12" t="str">
        <x:v>P26-TST-417</x:v>
      </x:c>
      <x:c r="C418" s="12" t="str">
        <x:v>P25-MOD-009</x:v>
      </x:c>
      <x:c r="D418" s="12" t="str">
        <x:v>P26-MOD-027</x:v>
      </x:c>
      <x:c r="E418" s="12" t="str">
        <x:v>Mapped</x:v>
      </x:c>
    </x:row>
    <x:row r="419">
      <x:c r="A419" s="12" t="str">
        <x:v>P26-REQ-418</x:v>
      </x:c>
      <x:c r="B419" s="12" t="str">
        <x:v>P26-TST-418</x:v>
      </x:c>
      <x:c r="C419" s="12" t="str">
        <x:v>P25-MOD-010</x:v>
      </x:c>
      <x:c r="D419" s="12" t="str">
        <x:v>P26-MOD-028</x:v>
      </x:c>
      <x:c r="E419" s="12" t="str">
        <x:v>Mapped</x:v>
      </x:c>
    </x:row>
    <x:row r="420">
      <x:c r="A420" s="12" t="str">
        <x:v>P26-REQ-419</x:v>
      </x:c>
      <x:c r="B420" s="12" t="str">
        <x:v>P26-TST-419</x:v>
      </x:c>
      <x:c r="C420" s="12" t="str">
        <x:v>P25-MOD-011</x:v>
      </x:c>
      <x:c r="D420" s="12" t="str">
        <x:v>P26-MOD-029</x:v>
      </x:c>
      <x:c r="E420" s="12" t="str">
        <x:v>Mapped</x:v>
      </x:c>
    </x:row>
    <x:row r="421">
      <x:c r="A421" s="12" t="str">
        <x:v>P26-REQ-420</x:v>
      </x:c>
      <x:c r="B421" s="12" t="str">
        <x:v>P26-TST-420</x:v>
      </x:c>
      <x:c r="C421" s="12" t="str">
        <x:v>P25-MOD-012</x:v>
      </x:c>
      <x:c r="D421" s="12" t="str">
        <x:v>P26-MOD-030</x:v>
      </x:c>
      <x:c r="E421" s="12" t="str">
        <x:v>Mapped</x:v>
      </x:c>
    </x:row>
    <x:row r="422">
      <x:c r="A422" s="12" t="str">
        <x:v>P26-REQ-421</x:v>
      </x:c>
      <x:c r="B422" s="12" t="str">
        <x:v>P26-TST-421</x:v>
      </x:c>
      <x:c r="C422" s="12" t="str">
        <x:v>P25-MOD-013</x:v>
      </x:c>
      <x:c r="D422" s="12" t="str">
        <x:v>P26-MOD-001</x:v>
      </x:c>
      <x:c r="E422" s="12" t="str">
        <x:v>Mapped</x:v>
      </x:c>
    </x:row>
    <x:row r="423">
      <x:c r="A423" s="12" t="str">
        <x:v>P26-REQ-422</x:v>
      </x:c>
      <x:c r="B423" s="12" t="str">
        <x:v>P26-TST-422</x:v>
      </x:c>
      <x:c r="C423" s="12" t="str">
        <x:v>P25-MOD-014</x:v>
      </x:c>
      <x:c r="D423" s="12" t="str">
        <x:v>P26-MOD-002</x:v>
      </x:c>
      <x:c r="E423" s="12" t="str">
        <x:v>Mapped</x:v>
      </x:c>
    </x:row>
    <x:row r="424">
      <x:c r="A424" s="12" t="str">
        <x:v>P26-REQ-423</x:v>
      </x:c>
      <x:c r="B424" s="12" t="str">
        <x:v>P26-TST-423</x:v>
      </x:c>
      <x:c r="C424" s="12" t="str">
        <x:v>P25-MOD-015</x:v>
      </x:c>
      <x:c r="D424" s="12" t="str">
        <x:v>P26-MOD-003</x:v>
      </x:c>
      <x:c r="E424" s="12" t="str">
        <x:v>Mapped</x:v>
      </x:c>
    </x:row>
    <x:row r="425">
      <x:c r="A425" s="12" t="str">
        <x:v>P26-REQ-424</x:v>
      </x:c>
      <x:c r="B425" s="12" t="str">
        <x:v>P26-TST-424</x:v>
      </x:c>
      <x:c r="C425" s="12" t="str">
        <x:v>P25-MOD-016</x:v>
      </x:c>
      <x:c r="D425" s="12" t="str">
        <x:v>P26-MOD-004</x:v>
      </x:c>
      <x:c r="E425" s="12" t="str">
        <x:v>Mapped</x:v>
      </x:c>
    </x:row>
    <x:row r="426">
      <x:c r="A426" s="12" t="str">
        <x:v>P26-REQ-425</x:v>
      </x:c>
      <x:c r="B426" s="12" t="str">
        <x:v>P26-TST-425</x:v>
      </x:c>
      <x:c r="C426" s="12" t="str">
        <x:v>P25-MOD-017</x:v>
      </x:c>
      <x:c r="D426" s="12" t="str">
        <x:v>P26-MOD-005</x:v>
      </x:c>
      <x:c r="E426" s="12" t="str">
        <x:v>Mapped</x:v>
      </x:c>
    </x:row>
    <x:row r="427">
      <x:c r="A427" s="12" t="str">
        <x:v>P26-REQ-426</x:v>
      </x:c>
      <x:c r="B427" s="12" t="str">
        <x:v>P26-TST-426</x:v>
      </x:c>
      <x:c r="C427" s="12" t="str">
        <x:v>P25-MOD-018</x:v>
      </x:c>
      <x:c r="D427" s="12" t="str">
        <x:v>P26-MOD-006</x:v>
      </x:c>
      <x:c r="E427" s="12" t="str">
        <x:v>Mapped</x:v>
      </x:c>
    </x:row>
    <x:row r="428">
      <x:c r="A428" s="12" t="str">
        <x:v>P26-REQ-427</x:v>
      </x:c>
      <x:c r="B428" s="12" t="str">
        <x:v>P26-TST-427</x:v>
      </x:c>
      <x:c r="C428" s="12" t="str">
        <x:v>P25-MOD-019</x:v>
      </x:c>
      <x:c r="D428" s="12" t="str">
        <x:v>P26-MOD-007</x:v>
      </x:c>
      <x:c r="E428" s="12" t="str">
        <x:v>Mapped</x:v>
      </x:c>
    </x:row>
    <x:row r="429">
      <x:c r="A429" s="12" t="str">
        <x:v>P26-REQ-428</x:v>
      </x:c>
      <x:c r="B429" s="12" t="str">
        <x:v>P26-TST-428</x:v>
      </x:c>
      <x:c r="C429" s="12" t="str">
        <x:v>P25-MOD-020</x:v>
      </x:c>
      <x:c r="D429" s="12" t="str">
        <x:v>P26-MOD-008</x:v>
      </x:c>
      <x:c r="E429" s="12" t="str">
        <x:v>Mapped</x:v>
      </x:c>
    </x:row>
    <x:row r="430">
      <x:c r="A430" s="12" t="str">
        <x:v>P26-REQ-429</x:v>
      </x:c>
      <x:c r="B430" s="12" t="str">
        <x:v>P26-TST-429</x:v>
      </x:c>
      <x:c r="C430" s="12" t="str">
        <x:v>P25-MOD-021</x:v>
      </x:c>
      <x:c r="D430" s="12" t="str">
        <x:v>P26-MOD-009</x:v>
      </x:c>
      <x:c r="E430" s="12" t="str">
        <x:v>Mapped</x:v>
      </x:c>
    </x:row>
    <x:row r="431">
      <x:c r="A431" s="12" t="str">
        <x:v>P26-REQ-430</x:v>
      </x:c>
      <x:c r="B431" s="12" t="str">
        <x:v>P26-TST-430</x:v>
      </x:c>
      <x:c r="C431" s="12" t="str">
        <x:v>P25-MOD-022</x:v>
      </x:c>
      <x:c r="D431" s="12" t="str">
        <x:v>P26-MOD-010</x:v>
      </x:c>
      <x:c r="E431" s="12" t="str">
        <x:v>Mapped</x:v>
      </x:c>
    </x:row>
    <x:row r="432">
      <x:c r="A432" s="12" t="str">
        <x:v>P26-REQ-431</x:v>
      </x:c>
      <x:c r="B432" s="12" t="str">
        <x:v>P26-TST-431</x:v>
      </x:c>
      <x:c r="C432" s="12" t="str">
        <x:v>P25-MOD-023</x:v>
      </x:c>
      <x:c r="D432" s="12" t="str">
        <x:v>P26-MOD-011</x:v>
      </x:c>
      <x:c r="E432" s="12" t="str">
        <x:v>Mapped</x:v>
      </x:c>
    </x:row>
    <x:row r="433">
      <x:c r="A433" s="12" t="str">
        <x:v>P26-REQ-432</x:v>
      </x:c>
      <x:c r="B433" s="12" t="str">
        <x:v>P26-TST-432</x:v>
      </x:c>
      <x:c r="C433" s="12" t="str">
        <x:v>P25-MOD-024</x:v>
      </x:c>
      <x:c r="D433" s="12" t="str">
        <x:v>P26-MOD-012</x:v>
      </x:c>
      <x:c r="E433" s="12" t="str">
        <x:v>Mapped</x:v>
      </x:c>
    </x:row>
    <x:row r="434">
      <x:c r="A434" s="12" t="str">
        <x:v>P26-REQ-433</x:v>
      </x:c>
      <x:c r="B434" s="12" t="str">
        <x:v>P26-TST-433</x:v>
      </x:c>
      <x:c r="C434" s="12" t="str">
        <x:v>P25-MOD-001</x:v>
      </x:c>
      <x:c r="D434" s="12" t="str">
        <x:v>P26-MOD-013</x:v>
      </x:c>
      <x:c r="E434" s="12" t="str">
        <x:v>Mapped</x:v>
      </x:c>
    </x:row>
    <x:row r="435">
      <x:c r="A435" s="12" t="str">
        <x:v>P26-REQ-434</x:v>
      </x:c>
      <x:c r="B435" s="12" t="str">
        <x:v>P26-TST-434</x:v>
      </x:c>
      <x:c r="C435" s="12" t="str">
        <x:v>P25-MOD-002</x:v>
      </x:c>
      <x:c r="D435" s="12" t="str">
        <x:v>P26-MOD-014</x:v>
      </x:c>
      <x:c r="E435" s="12" t="str">
        <x:v>Mapped</x:v>
      </x:c>
    </x:row>
    <x:row r="436">
      <x:c r="A436" s="12" t="str">
        <x:v>P26-REQ-435</x:v>
      </x:c>
      <x:c r="B436" s="12" t="str">
        <x:v>P26-TST-435</x:v>
      </x:c>
      <x:c r="C436" s="12" t="str">
        <x:v>P25-MOD-003</x:v>
      </x:c>
      <x:c r="D436" s="12" t="str">
        <x:v>P26-MOD-015</x:v>
      </x:c>
      <x:c r="E436" s="12" t="str">
        <x:v>Mapped</x:v>
      </x:c>
    </x:row>
    <x:row r="437">
      <x:c r="A437" s="12" t="str">
        <x:v>P26-REQ-436</x:v>
      </x:c>
      <x:c r="B437" s="12" t="str">
        <x:v>P26-TST-436</x:v>
      </x:c>
      <x:c r="C437" s="12" t="str">
        <x:v>P25-MOD-004</x:v>
      </x:c>
      <x:c r="D437" s="12" t="str">
        <x:v>P26-MOD-016</x:v>
      </x:c>
      <x:c r="E437" s="12" t="str">
        <x:v>Mapped</x:v>
      </x:c>
    </x:row>
    <x:row r="438">
      <x:c r="A438" s="12" t="str">
        <x:v>P26-REQ-437</x:v>
      </x:c>
      <x:c r="B438" s="12" t="str">
        <x:v>P26-TST-437</x:v>
      </x:c>
      <x:c r="C438" s="12" t="str">
        <x:v>P25-MOD-005</x:v>
      </x:c>
      <x:c r="D438" s="12" t="str">
        <x:v>P26-MOD-017</x:v>
      </x:c>
      <x:c r="E438" s="12" t="str">
        <x:v>Mapped</x:v>
      </x:c>
    </x:row>
    <x:row r="439">
      <x:c r="A439" s="12" t="str">
        <x:v>P26-REQ-438</x:v>
      </x:c>
      <x:c r="B439" s="12" t="str">
        <x:v>P26-TST-438</x:v>
      </x:c>
      <x:c r="C439" s="12" t="str">
        <x:v>P25-MOD-006</x:v>
      </x:c>
      <x:c r="D439" s="12" t="str">
        <x:v>P26-MOD-018</x:v>
      </x:c>
      <x:c r="E439" s="12" t="str">
        <x:v>Mapped</x:v>
      </x:c>
    </x:row>
    <x:row r="440">
      <x:c r="A440" s="12" t="str">
        <x:v>P26-REQ-439</x:v>
      </x:c>
      <x:c r="B440" s="12" t="str">
        <x:v>P26-TST-439</x:v>
      </x:c>
      <x:c r="C440" s="12" t="str">
        <x:v>P25-MOD-007</x:v>
      </x:c>
      <x:c r="D440" s="12" t="str">
        <x:v>P26-MOD-019</x:v>
      </x:c>
      <x:c r="E440" s="12" t="str">
        <x:v>Mapped</x:v>
      </x:c>
    </x:row>
    <x:row r="441">
      <x:c r="A441" s="12" t="str">
        <x:v>P26-REQ-440</x:v>
      </x:c>
      <x:c r="B441" s="12" t="str">
        <x:v>P26-TST-440</x:v>
      </x:c>
      <x:c r="C441" s="12" t="str">
        <x:v>P25-MOD-008</x:v>
      </x:c>
      <x:c r="D441" s="12" t="str">
        <x:v>P26-MOD-020</x:v>
      </x:c>
      <x:c r="E441" s="12" t="str">
        <x:v>Mapped</x:v>
      </x:c>
    </x:row>
    <x:row r="442">
      <x:c r="A442" s="12" t="str">
        <x:v>P26-REQ-441</x:v>
      </x:c>
      <x:c r="B442" s="12" t="str">
        <x:v>P26-TST-441</x:v>
      </x:c>
      <x:c r="C442" s="12" t="str">
        <x:v>P25-MOD-009</x:v>
      </x:c>
      <x:c r="D442" s="12" t="str">
        <x:v>P26-MOD-021</x:v>
      </x:c>
      <x:c r="E442" s="12" t="str">
        <x:v>Mapped</x:v>
      </x:c>
    </x:row>
    <x:row r="443">
      <x:c r="A443" s="12" t="str">
        <x:v>P26-REQ-442</x:v>
      </x:c>
      <x:c r="B443" s="12" t="str">
        <x:v>P26-TST-442</x:v>
      </x:c>
      <x:c r="C443" s="12" t="str">
        <x:v>P25-MOD-010</x:v>
      </x:c>
      <x:c r="D443" s="12" t="str">
        <x:v>P26-MOD-022</x:v>
      </x:c>
      <x:c r="E443" s="12" t="str">
        <x:v>Mapped</x:v>
      </x:c>
    </x:row>
    <x:row r="444">
      <x:c r="A444" s="12" t="str">
        <x:v>P26-REQ-443</x:v>
      </x:c>
      <x:c r="B444" s="12" t="str">
        <x:v>P26-TST-443</x:v>
      </x:c>
      <x:c r="C444" s="12" t="str">
        <x:v>P25-MOD-011</x:v>
      </x:c>
      <x:c r="D444" s="12" t="str">
        <x:v>P26-MOD-023</x:v>
      </x:c>
      <x:c r="E444" s="12" t="str">
        <x:v>Mapped</x:v>
      </x:c>
    </x:row>
    <x:row r="445">
      <x:c r="A445" s="12" t="str">
        <x:v>P26-REQ-444</x:v>
      </x:c>
      <x:c r="B445" s="12" t="str">
        <x:v>P26-TST-444</x:v>
      </x:c>
      <x:c r="C445" s="12" t="str">
        <x:v>P25-MOD-012</x:v>
      </x:c>
      <x:c r="D445" s="12" t="str">
        <x:v>P26-MOD-024</x:v>
      </x:c>
      <x:c r="E445" s="12" t="str">
        <x:v>Mapped</x:v>
      </x:c>
    </x:row>
    <x:row r="446">
      <x:c r="A446" s="12" t="str">
        <x:v>P26-REQ-445</x:v>
      </x:c>
      <x:c r="B446" s="12" t="str">
        <x:v>P26-TST-445</x:v>
      </x:c>
      <x:c r="C446" s="12" t="str">
        <x:v>P25-MOD-013</x:v>
      </x:c>
      <x:c r="D446" s="12" t="str">
        <x:v>P26-MOD-025</x:v>
      </x:c>
      <x:c r="E446" s="12" t="str">
        <x:v>Mapped</x:v>
      </x:c>
    </x:row>
    <x:row r="447">
      <x:c r="A447" s="12" t="str">
        <x:v>P26-REQ-446</x:v>
      </x:c>
      <x:c r="B447" s="12" t="str">
        <x:v>P26-TST-446</x:v>
      </x:c>
      <x:c r="C447" s="12" t="str">
        <x:v>P25-MOD-014</x:v>
      </x:c>
      <x:c r="D447" s="12" t="str">
        <x:v>P26-MOD-026</x:v>
      </x:c>
      <x:c r="E447" s="12" t="str">
        <x:v>Mapped</x:v>
      </x:c>
    </x:row>
    <x:row r="448">
      <x:c r="A448" s="12" t="str">
        <x:v>P26-REQ-447</x:v>
      </x:c>
      <x:c r="B448" s="12" t="str">
        <x:v>P26-TST-447</x:v>
      </x:c>
      <x:c r="C448" s="12" t="str">
        <x:v>P25-MOD-015</x:v>
      </x:c>
      <x:c r="D448" s="12" t="str">
        <x:v>P26-MOD-027</x:v>
      </x:c>
      <x:c r="E448" s="12" t="str">
        <x:v>Mapped</x:v>
      </x:c>
    </x:row>
    <x:row r="449">
      <x:c r="A449" s="12" t="str">
        <x:v>P26-REQ-448</x:v>
      </x:c>
      <x:c r="B449" s="12" t="str">
        <x:v>P26-TST-448</x:v>
      </x:c>
      <x:c r="C449" s="12" t="str">
        <x:v>P25-MOD-016</x:v>
      </x:c>
      <x:c r="D449" s="12" t="str">
        <x:v>P26-MOD-028</x:v>
      </x:c>
      <x:c r="E449" s="12" t="str">
        <x:v>Mapped</x:v>
      </x:c>
    </x:row>
    <x:row r="450">
      <x:c r="A450" s="12" t="str">
        <x:v>P26-REQ-449</x:v>
      </x:c>
      <x:c r="B450" s="12" t="str">
        <x:v>P26-TST-449</x:v>
      </x:c>
      <x:c r="C450" s="12" t="str">
        <x:v>P25-MOD-017</x:v>
      </x:c>
      <x:c r="D450" s="12" t="str">
        <x:v>P26-MOD-029</x:v>
      </x:c>
      <x:c r="E450" s="12" t="str">
        <x:v>Mapped</x:v>
      </x:c>
    </x:row>
    <x:row r="451">
      <x:c r="A451" s="12" t="str">
        <x:v>P26-REQ-450</x:v>
      </x:c>
      <x:c r="B451" s="12" t="str">
        <x:v>P26-TST-450</x:v>
      </x:c>
      <x:c r="C451" s="12" t="str">
        <x:v>P25-MOD-018</x:v>
      </x:c>
      <x:c r="D451" s="12" t="str">
        <x:v>P26-MOD-030</x:v>
      </x:c>
      <x:c r="E45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P26-MOD-001</x:v>
      </x:c>
      <x:c r="B2" s="12" t="str">
        <x:v>Estimate Service</x:v>
      </x:c>
      <x:c r="C2" s="12" t="str">
        <x:v>Domain</x:v>
      </x:c>
      <x:c r="D2" s="12" t="str">
        <x:v>Estimate header, lifecycle, versions, ownership, status and approval</x:v>
      </x:c>
    </x:row>
    <x:row r="3">
      <x:c r="A3" s="12" t="str">
        <x:v>P26-MOD-002</x:v>
      </x:c>
      <x:c r="B3" s="12" t="str">
        <x:v>Estimate Line Service</x:v>
      </x:c>
      <x:c r="C3" s="12" t="str">
        <x:v>Domain</x:v>
      </x:c>
      <x:c r="D3" s="12" t="str">
        <x:v>Service/line-item selection, quantities, units, notes and source evidence</x:v>
      </x:c>
    </x:row>
    <x:row r="4">
      <x:c r="A4" s="12" t="str">
        <x:v>P26-MOD-003</x:v>
      </x:c>
      <x:c r="B4" s="12" t="str">
        <x:v>Assembly Expansion Engine</x:v>
      </x:c>
      <x:c r="C4" s="12" t="str">
        <x:v>Engine</x:v>
      </x:c>
      <x:c r="D4" s="12" t="str">
        <x:v>Expand versioned assemblies into estimate resource components</x:v>
      </x:c>
    </x:row>
    <x:row r="5">
      <x:c r="A5" s="12" t="str">
        <x:v>P26-MOD-004</x:v>
      </x:c>
      <x:c r="B5" s="12" t="str">
        <x:v>Library Snapshot Resolver</x:v>
      </x:c>
      <x:c r="C5" s="12" t="str">
        <x:v>Engine</x:v>
      </x:c>
      <x:c r="D5" s="12" t="str">
        <x:v>Resolve immutable Phase 25 library snapshot/version inputs</x:v>
      </x:c>
    </x:row>
    <x:row r="6">
      <x:c r="A6" s="12" t="str">
        <x:v>P26-MOD-005</x:v>
      </x:c>
      <x:c r="B6" s="12" t="str">
        <x:v>Quantity Engine</x:v>
      </x:c>
      <x:c r="C6" s="12" t="str">
        <x:v>Engine</x:v>
      </x:c>
      <x:c r="D6" s="12" t="str">
        <x:v>Normalize input/takeoff quantities and approved unit conversions</x:v>
      </x:c>
    </x:row>
    <x:row r="7">
      <x:c r="A7" s="12" t="str">
        <x:v>P26-MOD-006</x:v>
      </x:c>
      <x:c r="B7" s="12" t="str">
        <x:v>Production Engine</x:v>
      </x:c>
      <x:c r="C7" s="12" t="str">
        <x:v>Engine</x:v>
      </x:c>
      <x:c r="D7" s="12" t="str">
        <x:v>Determine base production and modifiers for task/scenario</x:v>
      </x:c>
    </x:row>
    <x:row r="8">
      <x:c r="A8" s="12" t="str">
        <x:v>P26-MOD-007</x:v>
      </x:c>
      <x:c r="B8" s="12" t="str">
        <x:v>Crew Engine</x:v>
      </x:c>
      <x:c r="C8" s="12" t="str">
        <x:v>Engine</x:v>
      </x:c>
      <x:c r="D8" s="12" t="str">
        <x:v>Resolve crew composition, crew size, labor hours and crew alternatives</x:v>
      </x:c>
    </x:row>
    <x:row r="9">
      <x:c r="A9" s="12" t="str">
        <x:v>P26-MOD-008</x:v>
      </x:c>
      <x:c r="B9" s="12" t="str">
        <x:v>Labor Cost Engine</x:v>
      </x:c>
      <x:c r="C9" s="12" t="str">
        <x:v>Engine</x:v>
      </x:c>
      <x:c r="D9" s="12" t="str">
        <x:v>Base labor + burden + overtime/shift rules where configured</x:v>
      </x:c>
    </x:row>
    <x:row r="10">
      <x:c r="A10" s="12" t="str">
        <x:v>P26-MOD-009</x:v>
      </x:c>
      <x:c r="B10" s="12" t="str">
        <x:v>Equipment Selection Engine</x:v>
      </x:c>
      <x:c r="C10" s="12" t="str">
        <x:v>Engine</x:v>
      </x:c>
      <x:c r="D10" s="12" t="str">
        <x:v>Select compatible equipment class/model options for work</x:v>
      </x:c>
    </x:row>
    <x:row r="11">
      <x:c r="A11" s="12" t="str">
        <x:v>P26-MOD-010</x:v>
      </x:c>
      <x:c r="B11" s="12" t="str">
        <x:v>Equipment Cost Engine</x:v>
      </x:c>
      <x:c r="C11" s="12" t="str">
        <x:v>Engine</x:v>
      </x:c>
      <x:c r="D11" s="12" t="str">
        <x:v>Apply hourly/daily/weekly/monthly rate policy to required duration</x:v>
      </x:c>
    </x:row>
    <x:row r="12">
      <x:c r="A12" s="12" t="str">
        <x:v>P26-MOD-011</x:v>
      </x:c>
      <x:c r="B12" s="12" t="str">
        <x:v>Fuel Engine</x:v>
      </x:c>
      <x:c r="C12" s="12" t="str">
        <x:v>Engine</x:v>
      </x:c>
      <x:c r="D12" s="12" t="str">
        <x:v>Estimate fuel quantity/cost from configured consumption and runtime assumptions</x:v>
      </x:c>
    </x:row>
    <x:row r="13">
      <x:c r="A13" s="12" t="str">
        <x:v>P26-MOD-012</x:v>
      </x:c>
      <x:c r="B13" s="12" t="str">
        <x:v>Truck Cycle Engine</x:v>
      </x:c>
      <x:c r="C13" s="12" t="str">
        <x:v>Engine</x:v>
      </x:c>
      <x:c r="D13" s="12" t="str">
        <x:v>Load/haul/dump/return cycle model with capacity and delays</x:v>
      </x:c>
    </x:row>
    <x:row r="14">
      <x:c r="A14" s="12" t="str">
        <x:v>P26-MOD-013</x:v>
      </x:c>
      <x:c r="B14" s="12" t="str">
        <x:v>Truck Count Engine</x:v>
      </x:c>
      <x:c r="C14" s="12" t="str">
        <x:v>Engine</x:v>
      </x:c>
      <x:c r="D14" s="12" t="str">
        <x:v>Determine truck count required to balance source/placement production</x:v>
      </x:c>
    </x:row>
    <x:row r="15">
      <x:c r="A15" s="12" t="str">
        <x:v>P26-MOD-014</x:v>
      </x:c>
      <x:c r="B15" s="12" t="str">
        <x:v>Haul Cost Engine</x:v>
      </x:c>
      <x:c r="C15" s="12" t="str">
        <x:v>Engine</x:v>
      </x:c>
      <x:c r="D15" s="12" t="str">
        <x:v>Trip/hour/load-based hauling cost with distance and cycle evidence</x:v>
      </x:c>
    </x:row>
    <x:row r="16">
      <x:c r="A16" s="12" t="str">
        <x:v>P26-MOD-015</x:v>
      </x:c>
      <x:c r="B16" s="12" t="str">
        <x:v>Disposal Engine</x:v>
      </x:c>
      <x:c r="C16" s="12" t="str">
        <x:v>Engine</x:v>
      </x:c>
      <x:c r="D16" s="12" t="str">
        <x:v>Disposal quantity/fee/tonnage and facility/source logic</x:v>
      </x:c>
    </x:row>
    <x:row r="17">
      <x:c r="A17" s="12" t="str">
        <x:v>P26-MOD-016</x:v>
      </x:c>
      <x:c r="B17" s="12" t="str">
        <x:v>Material Cost Engine</x:v>
      </x:c>
      <x:c r="C17" s="12" t="str">
        <x:v>Engine</x:v>
      </x:c>
      <x:c r="D17" s="12" t="str">
        <x:v>Material quantity, waste, price, freight/source and unit conversion</x:v>
      </x:c>
    </x:row>
    <x:row r="18">
      <x:c r="A18" s="12" t="str">
        <x:v>P26-MOD-017</x:v>
      </x:c>
      <x:c r="B18" s="12" t="str">
        <x:v>Subcontract Cost Engine</x:v>
      </x:c>
      <x:c r="C18" s="12" t="str">
        <x:v>Engine</x:v>
      </x:c>
      <x:c r="D18" s="12" t="str">
        <x:v>Subcontract quantity/rate/quote resolution</x:v>
      </x:c>
    </x:row>
    <x:row r="19">
      <x:c r="A19" s="12" t="str">
        <x:v>P26-MOD-018</x:v>
      </x:c>
      <x:c r="B19" s="12" t="str">
        <x:v>Duration Engine</x:v>
      </x:c>
      <x:c r="C19" s="12" t="str">
        <x:v>Engine</x:v>
      </x:c>
      <x:c r="D19" s="12" t="str">
        <x:v>Work quantity divided by governing production adjusted for shifts/calendars</x:v>
      </x:c>
    </x:row>
    <x:row r="20">
      <x:c r="A20" s="12" t="str">
        <x:v>P26-MOD-019</x:v>
      </x:c>
      <x:c r="B20" s="12" t="str">
        <x:v>Mobilization Engine</x:v>
      </x:c>
      <x:c r="C20" s="12" t="str">
        <x:v>Engine</x:v>
      </x:c>
      <x:c r="D20" s="12" t="str">
        <x:v>Equipment/crew mobilization and demobilization cost/time</x:v>
      </x:c>
    </x:row>
    <x:row r="21">
      <x:c r="A21" s="12" t="str">
        <x:v>P26-MOD-020</x:v>
      </x:c>
      <x:c r="B21" s="12" t="str">
        <x:v>Indirect Cost Engine</x:v>
      </x:c>
      <x:c r="C21" s="12" t="str">
        <x:v>Engine</x:v>
      </x:c>
      <x:c r="D21" s="12" t="str">
        <x:v>Project-specific indirect/general-condition allocation</x:v>
      </x:c>
    </x:row>
    <x:row r="22">
      <x:c r="A22" s="12" t="str">
        <x:v>P26-MOD-021</x:v>
      </x:c>
      <x:c r="B22" s="12" t="str">
        <x:v>Regionalization Engine</x:v>
      </x:c>
      <x:c r="C22" s="12" t="str">
        <x:v>Engine</x:v>
      </x:c>
      <x:c r="D22" s="12" t="str">
        <x:v>Apply allowed regional/location profile factors without double adjustment</x:v>
      </x:c>
    </x:row>
    <x:row r="23">
      <x:c r="A23" s="12" t="str">
        <x:v>P26-MOD-022</x:v>
      </x:c>
      <x:c r="B23" s="12" t="str">
        <x:v>Markup Engine</x:v>
      </x:c>
      <x:c r="C23" s="12" t="str">
        <x:v>Engine</x:v>
      </x:c>
      <x:c r="D23" s="12" t="str">
        <x:v>Configured markup sequence, overhead, profit, contingency and exclusions</x:v>
      </x:c>
    </x:row>
    <x:row r="24">
      <x:c r="A24" s="12" t="str">
        <x:v>P26-MOD-023</x:v>
      </x:c>
      <x:c r="B24" s="12" t="str">
        <x:v>Tax &amp; Bond Engine</x:v>
      </x:c>
      <x:c r="C24" s="12" t="str">
        <x:v>Engine</x:v>
      </x:c>
      <x:c r="D24" s="12" t="str">
        <x:v>Configured tax/bond treatment and calculation basis</x:v>
      </x:c>
    </x:row>
    <x:row r="25">
      <x:c r="A25" s="12" t="str">
        <x:v>P26-MOD-024</x:v>
      </x:c>
      <x:c r="B25" s="12" t="str">
        <x:v>Unit Price Engine</x:v>
      </x:c>
      <x:c r="C25" s="12" t="str">
        <x:v>Engine</x:v>
      </x:c>
      <x:c r="D25" s="12" t="str">
        <x:v>Calculate sell unit price from total sell amount and quantity</x:v>
      </x:c>
    </x:row>
    <x:row r="26">
      <x:c r="A26" s="12" t="str">
        <x:v>P26-MOD-025</x:v>
      </x:c>
      <x:c r="B26" s="12" t="str">
        <x:v>Scenario Engine</x:v>
      </x:c>
      <x:c r="C26" s="12" t="str">
        <x:v>Engine</x:v>
      </x:c>
      <x:c r="D26" s="12" t="str">
        <x:v>Low/base/high and alternate crew/equipment/haul/shift comparisons</x:v>
      </x:c>
    </x:row>
    <x:row r="27">
      <x:c r="A27" s="12" t="str">
        <x:v>P26-MOD-026</x:v>
      </x:c>
      <x:c r="B27" s="12" t="str">
        <x:v>Confidence Engine</x:v>
      </x:c>
      <x:c r="C27" s="12" t="str">
        <x:v>Engine</x:v>
      </x:c>
      <x:c r="D27" s="12" t="str">
        <x:v>Input completeness/source age/override/review confidence scoring</x:v>
      </x:c>
    </x:row>
    <x:row r="28">
      <x:c r="A28" s="12" t="str">
        <x:v>P26-MOD-027</x:v>
      </x:c>
      <x:c r="B28" s="12" t="str">
        <x:v>AI Estimate Assist</x:v>
      </x:c>
      <x:c r="C28" s="12" t="str">
        <x:v>AI</x:v>
      </x:c>
      <x:c r="D28" s="12" t="str">
        <x:v>Suggest mappings/assumptions/risks with evidence; never silently changes approved estimate</x:v>
      </x:c>
    </x:row>
    <x:row r="29">
      <x:c r="A29" s="12" t="str">
        <x:v>P26-MOD-028</x:v>
      </x:c>
      <x:c r="B29" s="12" t="str">
        <x:v>Estimate Review Workflow</x:v>
      </x:c>
      <x:c r="C29" s="12" t="str">
        <x:v>Governance</x:v>
      </x:c>
      <x:c r="D29" s="12" t="str">
        <x:v>Review, approval, exceptions and estimate freeze</x:v>
      </x:c>
    </x:row>
    <x:row r="30">
      <x:c r="A30" s="12" t="str">
        <x:v>P26-MOD-029</x:v>
      </x:c>
      <x:c r="B30" s="12" t="str">
        <x:v>Service Catalog Writeback</x:v>
      </x:c>
      <x:c r="C30" s="12" t="str">
        <x:v>Integration</x:v>
      </x:c>
      <x:c r="D30" s="12" t="str">
        <x:v>Approved new service/assembly definitions written to Phase 25 catalog</x:v>
      </x:c>
    </x:row>
    <x:row r="31">
      <x:c r="A31" s="12" t="str">
        <x:v>P26-MOD-030</x:v>
      </x:c>
      <x:c r="B31" s="12" t="str">
        <x:v>Estimate Baseline Export</x:v>
      </x:c>
      <x:c r="C31" s="12" t="str">
        <x:v>Integration</x:v>
      </x:c>
      <x:c r="D31" s="12" t="str">
        <x:v>Proposal/job-cost/schedule/project handoff with immutable estimate baseline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Estimate</x:v>
      </x:c>
      <x:c r="B2" s="12" t="str">
        <x:v>estimate_id</x:v>
      </x:c>
      <x:c r="C2" s="12" t="str">
        <x:v>Estimate header/lifecycle</x:v>
      </x:c>
      <x:c r="D2" s="12" t="str">
        <x:v>Tenant</x:v>
      </x:c>
    </x:row>
    <x:row r="3">
      <x:c r="A3" s="12" t="str">
        <x:v>EstimateVersion</x:v>
      </x:c>
      <x:c r="B3" s="12" t="str">
        <x:v>estimate_version_id</x:v>
      </x:c>
      <x:c r="C3" s="12" t="str">
        <x:v>Immutable estimate revision</x:v>
      </x:c>
      <x:c r="D3" s="12" t="str">
        <x:v>Tenant</x:v>
      </x:c>
    </x:row>
    <x:row r="4">
      <x:c r="A4" s="12" t="str">
        <x:v>EstimateScenario</x:v>
      </x:c>
      <x:c r="B4" s="12" t="str">
        <x:v>scenario_id</x:v>
      </x:c>
      <x:c r="C4" s="12" t="str">
        <x:v>Base/low/high/alternate scenario</x:v>
      </x:c>
      <x:c r="D4" s="12" t="str">
        <x:v>Tenant</x:v>
      </x:c>
    </x:row>
    <x:row r="5">
      <x:c r="A5" s="12" t="str">
        <x:v>EstimateLine</x:v>
      </x:c>
      <x:c r="B5" s="12" t="str">
        <x:v>estimate_line_id</x:v>
      </x:c>
      <x:c r="C5" s="12" t="str">
        <x:v>Service/line item</x:v>
      </x:c>
      <x:c r="D5" s="12" t="str">
        <x:v>Tenant</x:v>
      </x:c>
    </x:row>
    <x:row r="6">
      <x:c r="A6" s="12" t="str">
        <x:v>EstimateLineSource</x:v>
      </x:c>
      <x:c r="B6" s="12" t="str">
        <x:v>line_source_id</x:v>
      </x:c>
      <x:c r="C6" s="12" t="str">
        <x:v>Plan/spec/manual/source evidence</x:v>
      </x:c>
      <x:c r="D6" s="12" t="str">
        <x:v>Tenant</x:v>
      </x:c>
    </x:row>
    <x:row r="7">
      <x:c r="A7" s="12" t="str">
        <x:v>EstimateQuantity</x:v>
      </x:c>
      <x:c r="B7" s="12" t="str">
        <x:v>estimate_quantity_id</x:v>
      </x:c>
      <x:c r="C7" s="12" t="str">
        <x:v>Quantity and unit</x:v>
      </x:c>
      <x:c r="D7" s="12" t="str">
        <x:v>Tenant</x:v>
      </x:c>
    </x:row>
    <x:row r="8">
      <x:c r="A8" s="12" t="str">
        <x:v>EstimateResourceComponent</x:v>
      </x:c>
      <x:c r="B8" s="12" t="str">
        <x:v>component_id</x:v>
      </x:c>
      <x:c r="C8" s="12" t="str">
        <x:v>Expanded labor/equipment/material/etc component</x:v>
      </x:c>
      <x:c r="D8" s="12" t="str">
        <x:v>Tenant</x:v>
      </x:c>
    </x:row>
    <x:row r="9">
      <x:c r="A9" s="12" t="str">
        <x:v>EstimateLibrarySnapshotRef</x:v>
      </x:c>
      <x:c r="B9" s="12" t="str">
        <x:v>snapshot_ref_id</x:v>
      </x:c>
      <x:c r="C9" s="12" t="str">
        <x:v>Phase 25 snapshot/version reference</x:v>
      </x:c>
      <x:c r="D9" s="12" t="str">
        <x:v>Tenant</x:v>
      </x:c>
    </x:row>
    <x:row r="10">
      <x:c r="A10" s="12" t="str">
        <x:v>ProductionAssumption</x:v>
      </x:c>
      <x:c r="B10" s="12" t="str">
        <x:v>production_assumption_id</x:v>
      </x:c>
      <x:c r="C10" s="12" t="str">
        <x:v>Production basis/conditions</x:v>
      </x:c>
      <x:c r="D10" s="12" t="str">
        <x:v>Tenant</x:v>
      </x:c>
    </x:row>
    <x:row r="11">
      <x:c r="A11" s="12" t="str">
        <x:v>ProductionModifier</x:v>
      </x:c>
      <x:c r="B11" s="12" t="str">
        <x:v>production_modifier_id</x:v>
      </x:c>
      <x:c r="C11" s="12" t="str">
        <x:v>Applied condition modifier</x:v>
      </x:c>
      <x:c r="D11" s="12" t="str">
        <x:v>Tenant</x:v>
      </x:c>
    </x:row>
    <x:row r="12">
      <x:c r="A12" s="12" t="str">
        <x:v>CrewPlan</x:v>
      </x:c>
      <x:c r="B12" s="12" t="str">
        <x:v>crew_plan_id</x:v>
      </x:c>
      <x:c r="C12" s="12" t="str">
        <x:v>Crew size/composition selection</x:v>
      </x:c>
      <x:c r="D12" s="12" t="str">
        <x:v>Tenant</x:v>
      </x:c>
    </x:row>
    <x:row r="13">
      <x:c r="A13" s="12" t="str">
        <x:v>LaborCostDetail</x:v>
      </x:c>
      <x:c r="B13" s="12" t="str">
        <x:v>labor_cost_detail_id</x:v>
      </x:c>
      <x:c r="C13" s="12" t="str">
        <x:v>Hours/rates/burden detail</x:v>
      </x:c>
      <x:c r="D13" s="12" t="str">
        <x:v>Tenant</x:v>
      </x:c>
    </x:row>
    <x:row r="14">
      <x:c r="A14" s="12" t="str">
        <x:v>EquipmentPlan</x:v>
      </x:c>
      <x:c r="B14" s="12" t="str">
        <x:v>equipment_plan_id</x:v>
      </x:c>
      <x:c r="C14" s="12" t="str">
        <x:v>Equipment selection/runtime/rate basis</x:v>
      </x:c>
      <x:c r="D14" s="12" t="str">
        <x:v>Tenant</x:v>
      </x:c>
    </x:row>
    <x:row r="15">
      <x:c r="A15" s="12" t="str">
        <x:v>EquipmentCostDetail</x:v>
      </x:c>
      <x:c r="B15" s="12" t="str">
        <x:v>equipment_cost_detail_id</x:v>
      </x:c>
      <x:c r="C15" s="12" t="str">
        <x:v>Equipment rate and duration calculation</x:v>
      </x:c>
      <x:c r="D15" s="12" t="str">
        <x:v>Tenant</x:v>
      </x:c>
    </x:row>
    <x:row r="16">
      <x:c r="A16" s="12" t="str">
        <x:v>FuelEstimate</x:v>
      </x:c>
      <x:c r="B16" s="12" t="str">
        <x:v>fuel_estimate_id</x:v>
      </x:c>
      <x:c r="C16" s="12" t="str">
        <x:v>Fuel consumption/cost calculation</x:v>
      </x:c>
      <x:c r="D16" s="12" t="str">
        <x:v>Tenant</x:v>
      </x:c>
    </x:row>
    <x:row r="17">
      <x:c r="A17" s="12" t="str">
        <x:v>TruckPlan</x:v>
      </x:c>
      <x:c r="B17" s="12" t="str">
        <x:v>truck_plan_id</x:v>
      </x:c>
      <x:c r="C17" s="12" t="str">
        <x:v>Truck count/capacity/cycle plan</x:v>
      </x:c>
      <x:c r="D17" s="12" t="str">
        <x:v>Tenant</x:v>
      </x:c>
    </x:row>
    <x:row r="18">
      <x:c r="A18" s="12" t="str">
        <x:v>TruckCycle</x:v>
      </x:c>
      <x:c r="B18" s="12" t="str">
        <x:v>truck_cycle_id</x:v>
      </x:c>
      <x:c r="C18" s="12" t="str">
        <x:v>Cycle time components</x:v>
      </x:c>
      <x:c r="D18" s="12" t="str">
        <x:v>Tenant</x:v>
      </x:c>
    </x:row>
    <x:row r="19">
      <x:c r="A19" s="12" t="str">
        <x:v>HaulCostDetail</x:v>
      </x:c>
      <x:c r="B19" s="12" t="str">
        <x:v>haul_cost_detail_id</x:v>
      </x:c>
      <x:c r="C19" s="12" t="str">
        <x:v>Hauling cost calculation</x:v>
      </x:c>
      <x:c r="D19" s="12" t="str">
        <x:v>Tenant</x:v>
      </x:c>
    </x:row>
    <x:row r="20">
      <x:c r="A20" s="12" t="str">
        <x:v>DisposalCostDetail</x:v>
      </x:c>
      <x:c r="B20" s="12" t="str">
        <x:v>disposal_cost_detail_id</x:v>
      </x:c>
      <x:c r="C20" s="12" t="str">
        <x:v>Disposal quantity/fee calculation</x:v>
      </x:c>
      <x:c r="D20" s="12" t="str">
        <x:v>Tenant</x:v>
      </x:c>
    </x:row>
    <x:row r="21">
      <x:c r="A21" s="12" t="str">
        <x:v>MaterialCostDetail</x:v>
      </x:c>
      <x:c r="B21" s="12" t="str">
        <x:v>material_cost_detail_id</x:v>
      </x:c>
      <x:c r="C21" s="12" t="str">
        <x:v>Material quantity/waste/price calculation</x:v>
      </x:c>
      <x:c r="D21" s="12" t="str">
        <x:v>Tenant</x:v>
      </x:c>
    </x:row>
    <x:row r="22">
      <x:c r="A22" s="12" t="str">
        <x:v>SubcontractCostDetail</x:v>
      </x:c>
      <x:c r="B22" s="12" t="str">
        <x:v>subcontract_cost_detail_id</x:v>
      </x:c>
      <x:c r="C22" s="12" t="str">
        <x:v>Subcontract quantity/rate calculation</x:v>
      </x:c>
      <x:c r="D22" s="12" t="str">
        <x:v>Tenant</x:v>
      </x:c>
    </x:row>
    <x:row r="23">
      <x:c r="A23" s="12" t="str">
        <x:v>DurationCalculation</x:v>
      </x:c>
      <x:c r="B23" s="12" t="str">
        <x:v>duration_calculation_id</x:v>
      </x:c>
      <x:c r="C23" s="12" t="str">
        <x:v>Hours/days/shifts calculation</x:v>
      </x:c>
      <x:c r="D23" s="12" t="str">
        <x:v>Tenant</x:v>
      </x:c>
    </x:row>
    <x:row r="24">
      <x:c r="A24" s="12" t="str">
        <x:v>MobilizationCost</x:v>
      </x:c>
      <x:c r="B24" s="12" t="str">
        <x:v>mobilization_cost_id</x:v>
      </x:c>
      <x:c r="C24" s="12" t="str">
        <x:v>Mobilization/demobilization detail</x:v>
      </x:c>
      <x:c r="D24" s="12" t="str">
        <x:v>Tenant</x:v>
      </x:c>
    </x:row>
    <x:row r="25">
      <x:c r="A25" s="12" t="str">
        <x:v>IndirectCost</x:v>
      </x:c>
      <x:c r="B25" s="12" t="str">
        <x:v>indirect_cost_id</x:v>
      </x:c>
      <x:c r="C25" s="12" t="str">
        <x:v>Indirect/general-condition cost</x:v>
      </x:c>
      <x:c r="D25" s="12" t="str">
        <x:v>Tenant</x:v>
      </x:c>
    </x:row>
    <x:row r="26">
      <x:c r="A26" s="12" t="str">
        <x:v>MarkupProfile</x:v>
      </x:c>
      <x:c r="B26" s="12" t="str">
        <x:v>markup_profile_id</x:v>
      </x:c>
      <x:c r="C26" s="12" t="str">
        <x:v>Applied estimate markup configuration</x:v>
      </x:c>
      <x:c r="D26" s="12" t="str">
        <x:v>Tenant</x:v>
      </x:c>
    </x:row>
    <x:row r="27">
      <x:c r="A27" s="12" t="str">
        <x:v>MarkupCalculation</x:v>
      </x:c>
      <x:c r="B27" s="12" t="str">
        <x:v>markup_calculation_id</x:v>
      </x:c>
      <x:c r="C27" s="12" t="str">
        <x:v>Markup step calculation</x:v>
      </x:c>
      <x:c r="D27" s="12" t="str">
        <x:v>Tenant</x:v>
      </x:c>
    </x:row>
    <x:row r="28">
      <x:c r="A28" s="12" t="str">
        <x:v>TaxCalculation</x:v>
      </x:c>
      <x:c r="B28" s="12" t="str">
        <x:v>tax_calculation_id</x:v>
      </x:c>
      <x:c r="C28" s="12" t="str">
        <x:v>Tax basis/result</x:v>
      </x:c>
      <x:c r="D28" s="12" t="str">
        <x:v>Tenant</x:v>
      </x:c>
    </x:row>
    <x:row r="29">
      <x:c r="A29" s="12" t="str">
        <x:v>BondCalculation</x:v>
      </x:c>
      <x:c r="B29" s="12" t="str">
        <x:v>bond_calculation_id</x:v>
      </x:c>
      <x:c r="C29" s="12" t="str">
        <x:v>Bond basis/result</x:v>
      </x:c>
      <x:c r="D29" s="12" t="str">
        <x:v>Tenant</x:v>
      </x:c>
    </x:row>
    <x:row r="30">
      <x:c r="A30" s="12" t="str">
        <x:v>EstimateTotal</x:v>
      </x:c>
      <x:c r="B30" s="12" t="str">
        <x:v>estimate_total_id</x:v>
      </x:c>
      <x:c r="C30" s="12" t="str">
        <x:v>Direct cost/sell/markup/summary</x:v>
      </x:c>
      <x:c r="D30" s="12" t="str">
        <x:v>Tenant</x:v>
      </x:c>
    </x:row>
    <x:row r="31">
      <x:c r="A31" s="12" t="str">
        <x:v>EstimateUnitPrice</x:v>
      </x:c>
      <x:c r="B31" s="12" t="str">
        <x:v>unit_price_id</x:v>
      </x:c>
      <x:c r="C31" s="12" t="str">
        <x:v>Sell price per unit</x:v>
      </x:c>
      <x:c r="D31" s="12" t="str">
        <x:v>Tenant</x:v>
      </x:c>
    </x:row>
    <x:row r="32">
      <x:c r="A32" s="12" t="str">
        <x:v>EstimateRange</x:v>
      </x:c>
      <x:c r="B32" s="12" t="str">
        <x:v>estimate_range_id</x:v>
      </x:c>
      <x:c r="C32" s="12" t="str">
        <x:v>Low/base/high range</x:v>
      </x:c>
      <x:c r="D32" s="12" t="str">
        <x:v>Tenant</x:v>
      </x:c>
    </x:row>
    <x:row r="33">
      <x:c r="A33" s="12" t="str">
        <x:v>EstimateConfidence</x:v>
      </x:c>
      <x:c r="B33" s="12" t="str">
        <x:v>confidence_id</x:v>
      </x:c>
      <x:c r="C33" s="12" t="str">
        <x:v>Confidence score/reasons</x:v>
      </x:c>
      <x:c r="D33" s="12" t="str">
        <x:v>Tenant</x:v>
      </x:c>
    </x:row>
    <x:row r="34">
      <x:c r="A34" s="12" t="str">
        <x:v>EstimateOverride</x:v>
      </x:c>
      <x:c r="B34" s="12" t="str">
        <x:v>override_id</x:v>
      </x:c>
      <x:c r="C34" s="12" t="str">
        <x:v>Authorized manual override</x:v>
      </x:c>
      <x:c r="D34" s="12" t="str">
        <x:v>Tenant</x:v>
      </x:c>
    </x:row>
    <x:row r="35">
      <x:c r="A35" s="12" t="str">
        <x:v>EstimateApproval</x:v>
      </x:c>
      <x:c r="B35" s="12" t="str">
        <x:v>approval_id</x:v>
      </x:c>
      <x:c r="C35" s="12" t="str">
        <x:v>Review/approval evidence</x:v>
      </x:c>
      <x:c r="D35" s="12" t="str">
        <x:v>Tenant</x:v>
      </x:c>
    </x:row>
    <x:row r="36">
      <x:c r="A36" s="12" t="str">
        <x:v>EstimateException</x:v>
      </x:c>
      <x:c r="B36" s="12" t="str">
        <x:v>exception_id</x:v>
      </x:c>
      <x:c r="C36" s="12" t="str">
        <x:v>Unresolved assumption/risk/exception</x:v>
      </x:c>
      <x:c r="D36" s="12" t="str">
        <x:v>Tenant</x:v>
      </x:c>
    </x:row>
    <x:row r="37">
      <x:c r="A37" s="12" t="str">
        <x:v>EstimateExport</x:v>
      </x:c>
      <x:c r="B37" s="12" t="str">
        <x:v>export_id</x:v>
      </x:c>
      <x:c r="C37" s="12" t="str">
        <x:v>Proposal/job baseline/export record</x:v>
      </x:c>
      <x:c r="D37" s="12" t="str">
        <x:v>Tenant</x:v>
      </x:c>
    </x:row>
    <x:row r="38">
      <x:c r="A38" s="12" t="str">
        <x:v>ServiceWritebackProposal</x:v>
      </x:c>
      <x:c r="B38" s="12" t="str">
        <x:v>writeback_id</x:v>
      </x:c>
      <x:c r="C38" s="12" t="str">
        <x:v>New service/assembly writeback request</x:v>
      </x:c>
      <x:c r="D38" s="12" t="str">
        <x:v>Tenant</x:v>
      </x:c>
    </x:row>
    <x:row r="39">
      <x:c r="A39" s="12" t="str">
        <x:v>CalculationTrace</x:v>
      </x:c>
      <x:c r="B39" s="12" t="str">
        <x:v>calculation_trace_id</x:v>
      </x:c>
      <x:c r="C39" s="12" t="str">
        <x:v>Formula/input/output lineage</x:v>
      </x:c>
      <x:c r="D39" s="12" t="str">
        <x:v>Tenant</x:v>
      </x:c>
    </x:row>
    <x:row r="40">
      <x:c r="A40" s="12" t="str">
        <x:v>EstimateAuditEvent</x:v>
      </x:c>
      <x:c r="B40" s="12" t="str">
        <x:v>audit_event_id</x:v>
      </x:c>
      <x:c r="C40" s="12" t="str">
        <x:v>Estimate-specific audit evidence</x:v>
      </x:c>
      <x:c r="D40" s="12" t="str">
        <x:v>Tenant</x:v>
      </x:c>
    </x:row>
    <x:row r="41">
      <x:c r="A41" s="12" t="str">
        <x:v>EstimateComparison</x:v>
      </x:c>
      <x:c r="B41" s="12" t="str">
        <x:v>comparison_id</x:v>
      </x:c>
      <x:c r="C41" s="12" t="str">
        <x:v>Scenario/version comparison</x:v>
      </x:c>
      <x:c r="D41" s="12" t="str">
        <x:v>Tenant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P26-API-001</x:v>
      </x:c>
      <x:c r="B2" s="12" t="str">
        <x:v>POST</x:v>
      </x:c>
      <x:c r="C2" s="12" t="str">
        <x:v>/api/v1/estimates</x:v>
      </x:c>
      <x:c r="D2" s="12" t="str">
        <x:v>Create estimate</x:v>
      </x:c>
      <x:c r="E2" s="12" t="str">
        <x:v>Authenticated; tenant scoped; estimate permission checked</x:v>
      </x:c>
      <x:c r="F2" s="12" t="str">
        <x:v>Calculation results return formula/version/input provenance; writes audited</x:v>
      </x:c>
    </x:row>
    <x:row r="3">
      <x:c r="A3" s="12" t="str">
        <x:v>P26-API-002</x:v>
      </x:c>
      <x:c r="B3" s="12" t="str">
        <x:v>GET</x:v>
      </x:c>
      <x:c r="C3" s="12" t="str">
        <x:v>/api/v1/estimates/{id}</x:v>
      </x:c>
      <x:c r="D3" s="12" t="str">
        <x:v>Read estimate</x:v>
      </x:c>
      <x:c r="E3" s="12" t="str">
        <x:v>Authenticated; tenant scoped; estimate permission checked</x:v>
      </x:c>
      <x:c r="F3" s="12" t="str">
        <x:v>Calculation results return formula/version/input provenance; writes audited</x:v>
      </x:c>
    </x:row>
    <x:row r="4">
      <x:c r="A4" s="12" t="str">
        <x:v>P26-API-003</x:v>
      </x:c>
      <x:c r="B4" s="12" t="str">
        <x:v>PATCH</x:v>
      </x:c>
      <x:c r="C4" s="12" t="str">
        <x:v>/api/v1/estimates/{id}</x:v>
      </x:c>
      <x:c r="D4" s="12" t="str">
        <x:v>Update draft estimate metadata</x:v>
      </x:c>
      <x:c r="E4" s="12" t="str">
        <x:v>Authenticated; tenant scoped; estimate permission checked</x:v>
      </x:c>
      <x:c r="F4" s="12" t="str">
        <x:v>Calculation results return formula/version/input provenance; writes audited</x:v>
      </x:c>
    </x:row>
    <x:row r="5">
      <x:c r="A5" s="12" t="str">
        <x:v>P26-API-004</x:v>
      </x:c>
      <x:c r="B5" s="12" t="str">
        <x:v>POST</x:v>
      </x:c>
      <x:c r="C5" s="12" t="str">
        <x:v>/api/v1/estimates/{id}/versions</x:v>
      </x:c>
      <x:c r="D5" s="12" t="str">
        <x:v>Create estimate version</x:v>
      </x:c>
      <x:c r="E5" s="12" t="str">
        <x:v>Authenticated; tenant scoped; estimate permission checked</x:v>
      </x:c>
      <x:c r="F5" s="12" t="str">
        <x:v>Calculation results return formula/version/input provenance; writes audited</x:v>
      </x:c>
    </x:row>
    <x:row r="6">
      <x:c r="A6" s="12" t="str">
        <x:v>P26-API-005</x:v>
      </x:c>
      <x:c r="B6" s="12" t="str">
        <x:v>POST</x:v>
      </x:c>
      <x:c r="C6" s="12" t="str">
        <x:v>/api/v1/estimates/{id}/lines</x:v>
      </x:c>
      <x:c r="D6" s="12" t="str">
        <x:v>Add estimate line</x:v>
      </x:c>
      <x:c r="E6" s="12" t="str">
        <x:v>Authenticated; tenant scoped; estimate permission checked</x:v>
      </x:c>
      <x:c r="F6" s="12" t="str">
        <x:v>Calculation results return formula/version/input provenance; writes audited</x:v>
      </x:c>
    </x:row>
    <x:row r="7">
      <x:c r="A7" s="12" t="str">
        <x:v>P26-API-006</x:v>
      </x:c>
      <x:c r="B7" s="12" t="str">
        <x:v>PATCH</x:v>
      </x:c>
      <x:c r="C7" s="12" t="str">
        <x:v>/api/v1/estimates/{id}/lines/{lineId}</x:v>
      </x:c>
      <x:c r="D7" s="12" t="str">
        <x:v>Update estimate line</x:v>
      </x:c>
      <x:c r="E7" s="12" t="str">
        <x:v>Authenticated; tenant scoped; estimate permission checked</x:v>
      </x:c>
      <x:c r="F7" s="12" t="str">
        <x:v>Calculation results return formula/version/input provenance; writes audited</x:v>
      </x:c>
    </x:row>
    <x:row r="8">
      <x:c r="A8" s="12" t="str">
        <x:v>P26-API-007</x:v>
      </x:c>
      <x:c r="B8" s="12" t="str">
        <x:v>POST</x:v>
      </x:c>
      <x:c r="C8" s="12" t="str">
        <x:v>/api/v1/estimates/{id}/lines/{lineId}/expand</x:v>
      </x:c>
      <x:c r="D8" s="12" t="str">
        <x:v>Expand service/assembly resources</x:v>
      </x:c>
      <x:c r="E8" s="12" t="str">
        <x:v>Authenticated; tenant scoped; estimate permission checked</x:v>
      </x:c>
      <x:c r="F8" s="12" t="str">
        <x:v>Calculation results return formula/version/input provenance; writes audited</x:v>
      </x:c>
    </x:row>
    <x:row r="9">
      <x:c r="A9" s="12" t="str">
        <x:v>P26-API-008</x:v>
      </x:c>
      <x:c r="B9" s="12" t="str">
        <x:v>POST</x:v>
      </x:c>
      <x:c r="C9" s="12" t="str">
        <x:v>/api/v1/estimates/{id}/calculate</x:v>
      </x:c>
      <x:c r="D9" s="12" t="str">
        <x:v>Calculate/recalculate estimate</x:v>
      </x:c>
      <x:c r="E9" s="12" t="str">
        <x:v>Authenticated; tenant scoped; estimate permission checked</x:v>
      </x:c>
      <x:c r="F9" s="12" t="str">
        <x:v>Calculation results return formula/version/input provenance; writes audited</x:v>
      </x:c>
    </x:row>
    <x:row r="10">
      <x:c r="A10" s="12" t="str">
        <x:v>P26-API-009</x:v>
      </x:c>
      <x:c r="B10" s="12" t="str">
        <x:v>POST</x:v>
      </x:c>
      <x:c r="C10" s="12" t="str">
        <x:v>/api/v1/estimates/{id}/scenarios</x:v>
      </x:c>
      <x:c r="D10" s="12" t="str">
        <x:v>Create estimate scenario</x:v>
      </x:c>
      <x:c r="E10" s="12" t="str">
        <x:v>Authenticated; tenant scoped; estimate permission checked</x:v>
      </x:c>
      <x:c r="F10" s="12" t="str">
        <x:v>Calculation results return formula/version/input provenance; writes audited</x:v>
      </x:c>
    </x:row>
    <x:row r="11">
      <x:c r="A11" s="12" t="str">
        <x:v>P26-API-010</x:v>
      </x:c>
      <x:c r="B11" s="12" t="str">
        <x:v>GET</x:v>
      </x:c>
      <x:c r="C11" s="12" t="str">
        <x:v>/api/v1/estimates/{id}/scenarios/{scenarioId}</x:v>
      </x:c>
      <x:c r="D11" s="12" t="str">
        <x:v>Read scenario</x:v>
      </x:c>
      <x:c r="E11" s="12" t="str">
        <x:v>Authenticated; tenant scoped; estimate permission checked</x:v>
      </x:c>
      <x:c r="F11" s="12" t="str">
        <x:v>Calculation results return formula/version/input provenance; writes audited</x:v>
      </x:c>
    </x:row>
    <x:row r="12">
      <x:c r="A12" s="12" t="str">
        <x:v>P26-API-011</x:v>
      </x:c>
      <x:c r="B12" s="12" t="str">
        <x:v>POST</x:v>
      </x:c>
      <x:c r="C12" s="12" t="str">
        <x:v>/api/v1/estimates/{id}/scenarios/{scenarioId}/calculate</x:v>
      </x:c>
      <x:c r="D12" s="12" t="str">
        <x:v>Calculate scenario</x:v>
      </x:c>
      <x:c r="E12" s="12" t="str">
        <x:v>Authenticated; tenant scoped; estimate permission checked</x:v>
      </x:c>
      <x:c r="F12" s="12" t="str">
        <x:v>Calculation results return formula/version/input provenance; writes audited</x:v>
      </x:c>
    </x:row>
    <x:row r="13">
      <x:c r="A13" s="12" t="str">
        <x:v>P26-API-012</x:v>
      </x:c>
      <x:c r="B13" s="12" t="str">
        <x:v>GET</x:v>
      </x:c>
      <x:c r="C13" s="12" t="str">
        <x:v>/api/v1/estimates/{id}/calculation-trace</x:v>
      </x:c>
      <x:c r="D13" s="12" t="str">
        <x:v>Read calculation trace</x:v>
      </x:c>
      <x:c r="E13" s="12" t="str">
        <x:v>Authenticated; tenant scoped; estimate permission checked</x:v>
      </x:c>
      <x:c r="F13" s="12" t="str">
        <x:v>Calculation results return formula/version/input provenance; writes audited</x:v>
      </x:c>
    </x:row>
    <x:row r="14">
      <x:c r="A14" s="12" t="str">
        <x:v>P26-API-013</x:v>
      </x:c>
      <x:c r="B14" s="12" t="str">
        <x:v>POST</x:v>
      </x:c>
      <x:c r="C14" s="12" t="str">
        <x:v>/api/v1/estimates/{id}/overrides</x:v>
      </x:c>
      <x:c r="D14" s="12" t="str">
        <x:v>Apply governed override</x:v>
      </x:c>
      <x:c r="E14" s="12" t="str">
        <x:v>Authenticated; tenant scoped; estimate permission checked</x:v>
      </x:c>
      <x:c r="F14" s="12" t="str">
        <x:v>Calculation results return formula/version/input provenance; writes audited</x:v>
      </x:c>
    </x:row>
    <x:row r="15">
      <x:c r="A15" s="12" t="str">
        <x:v>P26-API-014</x:v>
      </x:c>
      <x:c r="B15" s="12" t="str">
        <x:v>POST</x:v>
      </x:c>
      <x:c r="C15" s="12" t="str">
        <x:v>/api/v1/estimates/{id}/review</x:v>
      </x:c>
      <x:c r="D15" s="12" t="str">
        <x:v>Submit/review estimate</x:v>
      </x:c>
      <x:c r="E15" s="12" t="str">
        <x:v>Authenticated; tenant scoped; estimate permission checked</x:v>
      </x:c>
      <x:c r="F15" s="12" t="str">
        <x:v>Calculation results return formula/version/input provenance; writes audited</x:v>
      </x:c>
    </x:row>
    <x:row r="16">
      <x:c r="A16" s="12" t="str">
        <x:v>P26-API-015</x:v>
      </x:c>
      <x:c r="B16" s="12" t="str">
        <x:v>POST</x:v>
      </x:c>
      <x:c r="C16" s="12" t="str">
        <x:v>/api/v1/estimates/{id}/approve</x:v>
      </x:c>
      <x:c r="D16" s="12" t="str">
        <x:v>Approve/freeze estimate version</x:v>
      </x:c>
      <x:c r="E16" s="12" t="str">
        <x:v>Authenticated; tenant scoped; estimate permission checked</x:v>
      </x:c>
      <x:c r="F16" s="12" t="str">
        <x:v>Calculation results return formula/version/input provenance; writes audited</x:v>
      </x:c>
    </x:row>
    <x:row r="17">
      <x:c r="A17" s="12" t="str">
        <x:v>P26-API-016</x:v>
      </x:c>
      <x:c r="B17" s="12" t="str">
        <x:v>POST</x:v>
      </x:c>
      <x:c r="C17" s="12" t="str">
        <x:v>/api/v1/estimates/{id}/exports</x:v>
      </x:c>
      <x:c r="D17" s="12" t="str">
        <x:v>Create proposal/job-cost export</x:v>
      </x:c>
      <x:c r="E17" s="12" t="str">
        <x:v>Authenticated; tenant scoped; estimate permission checked</x:v>
      </x:c>
      <x:c r="F17" s="12" t="str">
        <x:v>Calculation results return formula/version/input provenance; writes audited</x:v>
      </x:c>
    </x:row>
    <x:row r="18">
      <x:c r="A18" s="12" t="str">
        <x:v>P26-API-017</x:v>
      </x:c>
      <x:c r="B18" s="12" t="str">
        <x:v>POST</x:v>
      </x:c>
      <x:c r="C18" s="12" t="str">
        <x:v>/api/v1/estimates/{id}/writeback</x:v>
      </x:c>
      <x:c r="D18" s="12" t="str">
        <x:v>Propose service/assembly writeback</x:v>
      </x:c>
      <x:c r="E18" s="12" t="str">
        <x:v>Authenticated; tenant scoped; estimate permission checked</x:v>
      </x:c>
      <x:c r="F18" s="12" t="str">
        <x:v>Calculation results return formula/version/input provenance; writes audited</x:v>
      </x:c>
    </x:row>
    <x:row r="19">
      <x:c r="A19" s="12" t="str">
        <x:v>P26-API-018</x:v>
      </x:c>
      <x:c r="B19" s="12" t="str">
        <x:v>POST</x:v>
      </x:c>
      <x:c r="C19" s="12" t="str">
        <x:v>/api/v1/production/calculate</x:v>
      </x:c>
      <x:c r="D19" s="12" t="str">
        <x:v>Calculate production</x:v>
      </x:c>
      <x:c r="E19" s="12" t="str">
        <x:v>Authenticated; tenant scoped; estimate permission checked</x:v>
      </x:c>
      <x:c r="F19" s="12" t="str">
        <x:v>Calculation results return formula/version/input provenance; writes audited</x:v>
      </x:c>
    </x:row>
    <x:row r="20">
      <x:c r="A20" s="12" t="str">
        <x:v>P26-API-019</x:v>
      </x:c>
      <x:c r="B20" s="12" t="str">
        <x:v>POST</x:v>
      </x:c>
      <x:c r="C20" s="12" t="str">
        <x:v>/api/v1/crews/recommend</x:v>
      </x:c>
      <x:c r="D20" s="12" t="str">
        <x:v>Recommend crew alternatives</x:v>
      </x:c>
      <x:c r="E20" s="12" t="str">
        <x:v>Authenticated; tenant scoped; estimate permission checked</x:v>
      </x:c>
      <x:c r="F20" s="12" t="str">
        <x:v>Calculation results return formula/version/input provenance; writes audited</x:v>
      </x:c>
    </x:row>
    <x:row r="21">
      <x:c r="A21" s="12" t="str">
        <x:v>P26-API-020</x:v>
      </x:c>
      <x:c r="B21" s="12" t="str">
        <x:v>POST</x:v>
      </x:c>
      <x:c r="C21" s="12" t="str">
        <x:v>/api/v1/equipment/select</x:v>
      </x:c>
      <x:c r="D21" s="12" t="str">
        <x:v>Recommend compatible equipment alternatives</x:v>
      </x:c>
      <x:c r="E21" s="12" t="str">
        <x:v>Authenticated; tenant scoped; estimate permission checked</x:v>
      </x:c>
      <x:c r="F21" s="12" t="str">
        <x:v>Calculation results return formula/version/input provenance; writes audited</x:v>
      </x:c>
    </x:row>
    <x:row r="22">
      <x:c r="A22" s="12" t="str">
        <x:v>P26-API-021</x:v>
      </x:c>
      <x:c r="B22" s="12" t="str">
        <x:v>POST</x:v>
      </x:c>
      <x:c r="C22" s="12" t="str">
        <x:v>/api/v1/equipment/cost</x:v>
      </x:c>
      <x:c r="D22" s="12" t="str">
        <x:v>Calculate equipment cost</x:v>
      </x:c>
      <x:c r="E22" s="12" t="str">
        <x:v>Authenticated; tenant scoped; estimate permission checked</x:v>
      </x:c>
      <x:c r="F22" s="12" t="str">
        <x:v>Calculation results return formula/version/input provenance; writes audited</x:v>
      </x:c>
    </x:row>
    <x:row r="23">
      <x:c r="A23" s="12" t="str">
        <x:v>P26-API-022</x:v>
      </x:c>
      <x:c r="B23" s="12" t="str">
        <x:v>POST</x:v>
      </x:c>
      <x:c r="C23" s="12" t="str">
        <x:v>/api/v1/fuel/calculate</x:v>
      </x:c>
      <x:c r="D23" s="12" t="str">
        <x:v>Calculate fuel estimate</x:v>
      </x:c>
      <x:c r="E23" s="12" t="str">
        <x:v>Authenticated; tenant scoped; estimate permission checked</x:v>
      </x:c>
      <x:c r="F23" s="12" t="str">
        <x:v>Calculation results return formula/version/input provenance; writes audited</x:v>
      </x:c>
    </x:row>
    <x:row r="24">
      <x:c r="A24" s="12" t="str">
        <x:v>P26-API-023</x:v>
      </x:c>
      <x:c r="B24" s="12" t="str">
        <x:v>POST</x:v>
      </x:c>
      <x:c r="C24" s="12" t="str">
        <x:v>/api/v1/trucking/cycle</x:v>
      </x:c>
      <x:c r="D24" s="12" t="str">
        <x:v>Calculate truck cycle</x:v>
      </x:c>
      <x:c r="E24" s="12" t="str">
        <x:v>Authenticated; tenant scoped; estimate permission checked</x:v>
      </x:c>
      <x:c r="F24" s="12" t="str">
        <x:v>Calculation results return formula/version/input provenance; writes audited</x:v>
      </x:c>
    </x:row>
    <x:row r="25">
      <x:c r="A25" s="12" t="str">
        <x:v>P26-API-024</x:v>
      </x:c>
      <x:c r="B25" s="12" t="str">
        <x:v>POST</x:v>
      </x:c>
      <x:c r="C25" s="12" t="str">
        <x:v>/api/v1/trucking/count</x:v>
      </x:c>
      <x:c r="D25" s="12" t="str">
        <x:v>Calculate truck count</x:v>
      </x:c>
      <x:c r="E25" s="12" t="str">
        <x:v>Authenticated; tenant scoped; estimate permission checked</x:v>
      </x:c>
      <x:c r="F25" s="12" t="str">
        <x:v>Calculation results return formula/version/input provenance; writes audited</x:v>
      </x:c>
    </x:row>
    <x:row r="26">
      <x:c r="A26" s="12" t="str">
        <x:v>P26-API-025</x:v>
      </x:c>
      <x:c r="B26" s="12" t="str">
        <x:v>POST</x:v>
      </x:c>
      <x:c r="C26" s="12" t="str">
        <x:v>/api/v1/haul/calculate</x:v>
      </x:c>
      <x:c r="D26" s="12" t="str">
        <x:v>Calculate haul cost</x:v>
      </x:c>
      <x:c r="E26" s="12" t="str">
        <x:v>Authenticated; tenant scoped; estimate permission checked</x:v>
      </x:c>
      <x:c r="F26" s="12" t="str">
        <x:v>Calculation results return formula/version/input provenance; writes audited</x:v>
      </x:c>
    </x:row>
    <x:row r="27">
      <x:c r="A27" s="12" t="str">
        <x:v>P26-API-026</x:v>
      </x:c>
      <x:c r="B27" s="12" t="str">
        <x:v>POST</x:v>
      </x:c>
      <x:c r="C27" s="12" t="str">
        <x:v>/api/v1/disposal/calculate</x:v>
      </x:c>
      <x:c r="D27" s="12" t="str">
        <x:v>Calculate disposal cost</x:v>
      </x:c>
      <x:c r="E27" s="12" t="str">
        <x:v>Authenticated; tenant scoped; estimate permission checked</x:v>
      </x:c>
      <x:c r="F27" s="12" t="str">
        <x:v>Calculation results return formula/version/input provenance; writes audited</x:v>
      </x:c>
    </x:row>
    <x:row r="28">
      <x:c r="A28" s="12" t="str">
        <x:v>P26-API-027</x:v>
      </x:c>
      <x:c r="B28" s="12" t="str">
        <x:v>POST</x:v>
      </x:c>
      <x:c r="C28" s="12" t="str">
        <x:v>/api/v1/materials/calculate</x:v>
      </x:c>
      <x:c r="D28" s="12" t="str">
        <x:v>Calculate material cost</x:v>
      </x:c>
      <x:c r="E28" s="12" t="str">
        <x:v>Authenticated; tenant scoped; estimate permission checked</x:v>
      </x:c>
      <x:c r="F28" s="12" t="str">
        <x:v>Calculation results return formula/version/input provenance; writes audited</x:v>
      </x:c>
    </x:row>
    <x:row r="29">
      <x:c r="A29" s="12" t="str">
        <x:v>P26-API-028</x:v>
      </x:c>
      <x:c r="B29" s="12" t="str">
        <x:v>POST</x:v>
      </x:c>
      <x:c r="C29" s="12" t="str">
        <x:v>/api/v1/markup/calculate</x:v>
      </x:c>
      <x:c r="D29" s="12" t="str">
        <x:v>Calculate markup/sell price</x:v>
      </x:c>
      <x:c r="E29" s="12" t="str">
        <x:v>Authenticated; tenant scoped; estimate permission checked</x:v>
      </x:c>
      <x:c r="F29" s="12" t="str">
        <x:v>Calculation results return formula/version/input provenance; writes audited</x:v>
      </x:c>
    </x:row>
    <x:row r="30">
      <x:c r="A30" s="12" t="str">
        <x:v>P26-API-029</x:v>
      </x:c>
      <x:c r="B30" s="12" t="str">
        <x:v>POST</x:v>
      </x:c>
      <x:c r="C30" s="12" t="str">
        <x:v>/api/v1/estimates/compare</x:v>
      </x:c>
      <x:c r="D30" s="12" t="str">
        <x:v>Compare scenarios/versions</x:v>
      </x:c>
      <x:c r="E30" s="12" t="str">
        <x:v>Authenticated; tenant scoped; estimate permission checked</x:v>
      </x:c>
      <x:c r="F30" s="12" t="str">
        <x:v>Calculation results return formula/version/input provenance; writes audited</x:v>
      </x:c>
    </x:row>
    <x:row r="31">
      <x:c r="A31" s="12" t="str">
        <x:v>P26-API-030</x:v>
      </x:c>
      <x:c r="B31" s="12" t="str">
        <x:v>POST</x:v>
      </x:c>
      <x:c r="C31" s="12" t="str">
        <x:v>/api/v1/ai/estimate-assist</x:v>
      </x:c>
      <x:c r="D31" s="12" t="str">
        <x:v>Generate evidence-grounded estimate assistance</x:v>
      </x:c>
      <x:c r="E31" s="12" t="str">
        <x:v>Authenticated; tenant scoped; estimate permission checked</x:v>
      </x:c>
      <x:c r="F31" s="12" t="str">
        <x:v>Calculation results return formula/version/input provenance; writes audited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P26-EVT-001</x:v>
      </x:c>
      <x:c r="B2" s="12" t="str">
        <x:v>estimate.created</x:v>
      </x:c>
      <x:c r="C2" s="12" t="str">
        <x:v>v1</x:v>
      </x:c>
      <x:c r="D2" s="12" t="str">
        <x:v>event_id,event_name,version,tenant_id,estimate_id,estimate_version,occurred_at,correlation_id,actor,payload</x:v>
      </x:c>
      <x:c r="E2" s="12" t="str">
        <x:v>Outbox; idempotent consumer; calculation/library snapshot references</x:v>
      </x:c>
      <x:c r="F2" s="12" t="str">
        <x:v>Proposed</x:v>
      </x:c>
    </x:row>
    <x:row r="3">
      <x:c r="A3" s="12" t="str">
        <x:v>P26-EVT-002</x:v>
      </x:c>
      <x:c r="B3" s="12" t="str">
        <x:v>estimate.version.created</x:v>
      </x:c>
      <x:c r="C3" s="12" t="str">
        <x:v>v1</x:v>
      </x:c>
      <x:c r="D3" s="12" t="str">
        <x:v>event_id,event_name,version,tenant_id,estimate_id,estimate_version,occurred_at,correlation_id,actor,payload</x:v>
      </x:c>
      <x:c r="E3" s="12" t="str">
        <x:v>Outbox; idempotent consumer; calculation/library snapshot references</x:v>
      </x:c>
      <x:c r="F3" s="12" t="str">
        <x:v>Proposed</x:v>
      </x:c>
    </x:row>
    <x:row r="4">
      <x:c r="A4" s="12" t="str">
        <x:v>P26-EVT-003</x:v>
      </x:c>
      <x:c r="B4" s="12" t="str">
        <x:v>estimate.line.added</x:v>
      </x:c>
      <x:c r="C4" s="12" t="str">
        <x:v>v1</x:v>
      </x:c>
      <x:c r="D4" s="12" t="str">
        <x:v>event_id,event_name,version,tenant_id,estimate_id,estimate_version,occurred_at,correlation_id,actor,payload</x:v>
      </x:c>
      <x:c r="E4" s="12" t="str">
        <x:v>Outbox; idempotent consumer; calculation/library snapshot references</x:v>
      </x:c>
      <x:c r="F4" s="12" t="str">
        <x:v>Proposed</x:v>
      </x:c>
    </x:row>
    <x:row r="5">
      <x:c r="A5" s="12" t="str">
        <x:v>P26-EVT-004</x:v>
      </x:c>
      <x:c r="B5" s="12" t="str">
        <x:v>estimate.line.expanded</x:v>
      </x:c>
      <x:c r="C5" s="12" t="str">
        <x:v>v1</x:v>
      </x:c>
      <x:c r="D5" s="12" t="str">
        <x:v>event_id,event_name,version,tenant_id,estimate_id,estimate_version,occurred_at,correlation_id,actor,payload</x:v>
      </x:c>
      <x:c r="E5" s="12" t="str">
        <x:v>Outbox; idempotent consumer; calculation/library snapshot references</x:v>
      </x:c>
      <x:c r="F5" s="12" t="str">
        <x:v>Proposed</x:v>
      </x:c>
    </x:row>
    <x:row r="6">
      <x:c r="A6" s="12" t="str">
        <x:v>P26-EVT-005</x:v>
      </x:c>
      <x:c r="B6" s="12" t="str">
        <x:v>estimate.calculated</x:v>
      </x:c>
      <x:c r="C6" s="12" t="str">
        <x:v>v1</x:v>
      </x:c>
      <x:c r="D6" s="12" t="str">
        <x:v>event_id,event_name,version,tenant_id,estimate_id,estimate_version,occurred_at,correlation_id,actor,payload</x:v>
      </x:c>
      <x:c r="E6" s="12" t="str">
        <x:v>Outbox; idempotent consumer; calculation/library snapshot references</x:v>
      </x:c>
      <x:c r="F6" s="12" t="str">
        <x:v>Proposed</x:v>
      </x:c>
    </x:row>
    <x:row r="7">
      <x:c r="A7" s="12" t="str">
        <x:v>P26-EVT-006</x:v>
      </x:c>
      <x:c r="B7" s="12" t="str">
        <x:v>estimate.scenario.created</x:v>
      </x:c>
      <x:c r="C7" s="12" t="str">
        <x:v>v1</x:v>
      </x:c>
      <x:c r="D7" s="12" t="str">
        <x:v>event_id,event_name,version,tenant_id,estimate_id,estimate_version,occurred_at,correlation_id,actor,payload</x:v>
      </x:c>
      <x:c r="E7" s="12" t="str">
        <x:v>Outbox; idempotent consumer; calculation/library snapshot references</x:v>
      </x:c>
      <x:c r="F7" s="12" t="str">
        <x:v>Proposed</x:v>
      </x:c>
    </x:row>
    <x:row r="8">
      <x:c r="A8" s="12" t="str">
        <x:v>P26-EVT-007</x:v>
      </x:c>
      <x:c r="B8" s="12" t="str">
        <x:v>estimate.scenario.calculated</x:v>
      </x:c>
      <x:c r="C8" s="12" t="str">
        <x:v>v1</x:v>
      </x:c>
      <x:c r="D8" s="12" t="str">
        <x:v>event_id,event_name,version,tenant_id,estimate_id,estimate_version,occurred_at,correlation_id,actor,payload</x:v>
      </x:c>
      <x:c r="E8" s="12" t="str">
        <x:v>Outbox; idempotent consumer; calculation/library snapshot references</x:v>
      </x:c>
      <x:c r="F8" s="12" t="str">
        <x:v>Proposed</x:v>
      </x:c>
    </x:row>
    <x:row r="9">
      <x:c r="A9" s="12" t="str">
        <x:v>P26-EVT-008</x:v>
      </x:c>
      <x:c r="B9" s="12" t="str">
        <x:v>estimate.override.applied</x:v>
      </x:c>
      <x:c r="C9" s="12" t="str">
        <x:v>v1</x:v>
      </x:c>
      <x:c r="D9" s="12" t="str">
        <x:v>event_id,event_name,version,tenant_id,estimate_id,estimate_version,occurred_at,correlation_id,actor,payload</x:v>
      </x:c>
      <x:c r="E9" s="12" t="str">
        <x:v>Outbox; idempotent consumer; calculation/library snapshot references</x:v>
      </x:c>
      <x:c r="F9" s="12" t="str">
        <x:v>Proposed</x:v>
      </x:c>
    </x:row>
    <x:row r="10">
      <x:c r="A10" s="12" t="str">
        <x:v>P26-EVT-009</x:v>
      </x:c>
      <x:c r="B10" s="12" t="str">
        <x:v>estimate.review.requested</x:v>
      </x:c>
      <x:c r="C10" s="12" t="str">
        <x:v>v1</x:v>
      </x:c>
      <x:c r="D10" s="12" t="str">
        <x:v>event_id,event_name,version,tenant_id,estimate_id,estimate_version,occurred_at,correlation_id,actor,payload</x:v>
      </x:c>
      <x:c r="E10" s="12" t="str">
        <x:v>Outbox; idempotent consumer; calculation/library snapshot references</x:v>
      </x:c>
      <x:c r="F10" s="12" t="str">
        <x:v>Proposed</x:v>
      </x:c>
    </x:row>
    <x:row r="11">
      <x:c r="A11" s="12" t="str">
        <x:v>P26-EVT-010</x:v>
      </x:c>
      <x:c r="B11" s="12" t="str">
        <x:v>estimate.approved</x:v>
      </x:c>
      <x:c r="C11" s="12" t="str">
        <x:v>v1</x:v>
      </x:c>
      <x:c r="D11" s="12" t="str">
        <x:v>event_id,event_name,version,tenant_id,estimate_id,estimate_version,occurred_at,correlation_id,actor,payload</x:v>
      </x:c>
      <x:c r="E11" s="12" t="str">
        <x:v>Outbox; idempotent consumer; calculation/library snapshot references</x:v>
      </x:c>
      <x:c r="F11" s="12" t="str">
        <x:v>Proposed</x:v>
      </x:c>
    </x:row>
    <x:row r="12">
      <x:c r="A12" s="12" t="str">
        <x:v>P26-EVT-011</x:v>
      </x:c>
      <x:c r="B12" s="12" t="str">
        <x:v>estimate.frozen</x:v>
      </x:c>
      <x:c r="C12" s="12" t="str">
        <x:v>v1</x:v>
      </x:c>
      <x:c r="D12" s="12" t="str">
        <x:v>event_id,event_name,version,tenant_id,estimate_id,estimate_version,occurred_at,correlation_id,actor,payload</x:v>
      </x:c>
      <x:c r="E12" s="12" t="str">
        <x:v>Outbox; idempotent consumer; calculation/library snapshot references</x:v>
      </x:c>
      <x:c r="F12" s="12" t="str">
        <x:v>Proposed</x:v>
      </x:c>
    </x:row>
    <x:row r="13">
      <x:c r="A13" s="12" t="str">
        <x:v>P26-EVT-012</x:v>
      </x:c>
      <x:c r="B13" s="12" t="str">
        <x:v>estimate.exported</x:v>
      </x:c>
      <x:c r="C13" s="12" t="str">
        <x:v>v1</x:v>
      </x:c>
      <x:c r="D13" s="12" t="str">
        <x:v>event_id,event_name,version,tenant_id,estimate_id,estimate_version,occurred_at,correlation_id,actor,payload</x:v>
      </x:c>
      <x:c r="E13" s="12" t="str">
        <x:v>Outbox; idempotent consumer; calculation/library snapshot references</x:v>
      </x:c>
      <x:c r="F13" s="12" t="str">
        <x:v>Proposed</x:v>
      </x:c>
    </x:row>
    <x:row r="14">
      <x:c r="A14" s="12" t="str">
        <x:v>P26-EVT-013</x:v>
      </x:c>
      <x:c r="B14" s="12" t="str">
        <x:v>estimate.writeback.proposed</x:v>
      </x:c>
      <x:c r="C14" s="12" t="str">
        <x:v>v1</x:v>
      </x:c>
      <x:c r="D14" s="12" t="str">
        <x:v>event_id,event_name,version,tenant_id,estimate_id,estimate_version,occurred_at,correlation_id,actor,payload</x:v>
      </x:c>
      <x:c r="E14" s="12" t="str">
        <x:v>Outbox; idempotent consumer; calculation/library snapshot references</x:v>
      </x:c>
      <x:c r="F14" s="12" t="str">
        <x:v>Proposed</x:v>
      </x:c>
    </x:row>
    <x:row r="15">
      <x:c r="A15" s="12" t="str">
        <x:v>P26-EVT-014</x:v>
      </x:c>
      <x:c r="B15" s="12" t="str">
        <x:v>production.calculated</x:v>
      </x:c>
      <x:c r="C15" s="12" t="str">
        <x:v>v1</x:v>
      </x:c>
      <x:c r="D15" s="12" t="str">
        <x:v>event_id,event_name,version,tenant_id,estimate_id,estimate_version,occurred_at,correlation_id,actor,payload</x:v>
      </x:c>
      <x:c r="E15" s="12" t="str">
        <x:v>Outbox; idempotent consumer; calculation/library snapshot references</x:v>
      </x:c>
      <x:c r="F15" s="12" t="str">
        <x:v>Proposed</x:v>
      </x:c>
    </x:row>
    <x:row r="16">
      <x:c r="A16" s="12" t="str">
        <x:v>P26-EVT-015</x:v>
      </x:c>
      <x:c r="B16" s="12" t="str">
        <x:v>crew.recommended</x:v>
      </x:c>
      <x:c r="C16" s="12" t="str">
        <x:v>v1</x:v>
      </x:c>
      <x:c r="D16" s="12" t="str">
        <x:v>event_id,event_name,version,tenant_id,estimate_id,estimate_version,occurred_at,correlation_id,actor,payload</x:v>
      </x:c>
      <x:c r="E16" s="12" t="str">
        <x:v>Outbox; idempotent consumer; calculation/library snapshot references</x:v>
      </x:c>
      <x:c r="F16" s="12" t="str">
        <x:v>Proposed</x:v>
      </x:c>
    </x:row>
    <x:row r="17">
      <x:c r="A17" s="12" t="str">
        <x:v>P26-EVT-016</x:v>
      </x:c>
      <x:c r="B17" s="12" t="str">
        <x:v>equipment.selected</x:v>
      </x:c>
      <x:c r="C17" s="12" t="str">
        <x:v>v1</x:v>
      </x:c>
      <x:c r="D17" s="12" t="str">
        <x:v>event_id,event_name,version,tenant_id,estimate_id,estimate_version,occurred_at,correlation_id,actor,payload</x:v>
      </x:c>
      <x:c r="E17" s="12" t="str">
        <x:v>Outbox; idempotent consumer; calculation/library snapshot references</x:v>
      </x:c>
      <x:c r="F17" s="12" t="str">
        <x:v>Proposed</x:v>
      </x:c>
    </x:row>
    <x:row r="18">
      <x:c r="A18" s="12" t="str">
        <x:v>P26-EVT-017</x:v>
      </x:c>
      <x:c r="B18" s="12" t="str">
        <x:v>truckcycle.calculated</x:v>
      </x:c>
      <x:c r="C18" s="12" t="str">
        <x:v>v1</x:v>
      </x:c>
      <x:c r="D18" s="12" t="str">
        <x:v>event_id,event_name,version,tenant_id,estimate_id,estimate_version,occurred_at,correlation_id,actor,payload</x:v>
      </x:c>
      <x:c r="E18" s="12" t="str">
        <x:v>Outbox; idempotent consumer; calculation/library snapshot references</x:v>
      </x:c>
      <x:c r="F18" s="12" t="str">
        <x:v>Proposed</x:v>
      </x:c>
    </x:row>
    <x:row r="19">
      <x:c r="A19" s="12" t="str">
        <x:v>P26-EVT-018</x:v>
      </x:c>
      <x:c r="B19" s="12" t="str">
        <x:v>haul.calculated</x:v>
      </x:c>
      <x:c r="C19" s="12" t="str">
        <x:v>v1</x:v>
      </x:c>
      <x:c r="D19" s="12" t="str">
        <x:v>event_id,event_name,version,tenant_id,estimate_id,estimate_version,occurred_at,correlation_id,actor,payload</x:v>
      </x:c>
      <x:c r="E19" s="12" t="str">
        <x:v>Outbox; idempotent consumer; calculation/library snapshot references</x:v>
      </x:c>
      <x:c r="F19" s="12" t="str">
        <x:v>Proposed</x:v>
      </x:c>
    </x:row>
    <x:row r="20">
      <x:c r="A20" s="12" t="str">
        <x:v>P26-EVT-019</x:v>
      </x:c>
      <x:c r="B20" s="12" t="str">
        <x:v>ai.estimateassist.completed</x:v>
      </x:c>
      <x:c r="C20" s="12" t="str">
        <x:v>v1</x:v>
      </x:c>
      <x:c r="D20" s="12" t="str">
        <x:v>event_id,event_name,version,tenant_id,estimate_id,estimate_version,occurred_at,correlation_id,actor,payload</x:v>
      </x:c>
      <x:c r="E20" s="12" t="str">
        <x:v>Outbox; idempotent consumer; calculation/library snapshot references</x:v>
      </x:c>
      <x:c r="F20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P26-BR-001</x:v>
      </x:c>
      <x:c r="B2" s="12" t="str">
        <x:v>Snapshot required</x:v>
      </x:c>
      <x:c r="C2" s="12" t="str">
        <x:v>Every reproducible estimate calculation references a Phase 25 library snapshot or explicit immutable record versions.</x:v>
      </x:c>
      <x:c r="D2" s="12" t="str">
        <x:v>Blocking</x:v>
      </x:c>
    </x:row>
    <x:row r="3">
      <x:c r="A3" s="12" t="str">
        <x:v>P26-BR-002</x:v>
      </x:c>
      <x:c r="B3" s="12" t="str">
        <x:v>Direct cost rollup</x:v>
      </x:c>
      <x:c r="C3" s="12" t="str">
        <x:v>Direct cost = labor + equipment + fuel where separated + material + subcontract + trucking/haul + disposal + approved direct mobilization/other direct cost.</x:v>
      </x:c>
      <x:c r="D3" s="12" t="str">
        <x:v>Blocking</x:v>
      </x:c>
    </x:row>
    <x:row r="4">
      <x:c r="A4" s="12" t="str">
        <x:v>P26-BR-003</x:v>
      </x:c>
      <x:c r="B4" s="12" t="str">
        <x:v>Production duration</x:v>
      </x:c>
      <x:c r="C4" s="12" t="str">
        <x:v>Base duration hours = work quantity / production rate when units are compatible; modifiers adjust the governing production or duration according to configured method.</x:v>
      </x:c>
      <x:c r="D4" s="12" t="str">
        <x:v>Blocking</x:v>
      </x:c>
    </x:row>
    <x:row r="5">
      <x:c r="A5" s="12" t="str">
        <x:v>P26-BR-004</x:v>
      </x:c>
      <x:c r="B5" s="12" t="str">
        <x:v>Crew labor hours</x:v>
      </x:c>
      <x:c r="C5" s="12" t="str">
        <x:v>Labor hours = duration hours × summed crew member counts unless resource scheduling rule specifies otherwise.</x:v>
      </x:c>
      <x:c r="D5" s="12" t="str">
        <x:v>Blocking</x:v>
      </x:c>
    </x:row>
    <x:row r="6">
      <x:c r="A6" s="12" t="str">
        <x:v>P26-BR-005</x:v>
      </x:c>
      <x:c r="B6" s="12" t="str">
        <x:v>Equipment hours</x:v>
      </x:c>
      <x:c r="C6" s="12" t="str">
        <x:v>Equipment runtime hours derive from equipment participation duration/utilization, not automatically equal to total project duration.</x:v>
      </x:c>
      <x:c r="D6" s="12" t="str">
        <x:v>Blocking</x:v>
      </x:c>
    </x:row>
    <x:row r="7">
      <x:c r="A7" s="12" t="str">
        <x:v>P26-BR-006</x:v>
      </x:c>
      <x:c r="B7" s="12" t="str">
        <x:v>Equipment rate selection</x:v>
      </x:c>
      <x:c r="C7" s="12" t="str">
        <x:v>Hourly/daily/weekly/monthly equipment rates are selected using configured rental/ownership rate policy; do not linearly infer rates unless policy permits.</x:v>
      </x:c>
      <x:c r="D7" s="12" t="str">
        <x:v>Blocking</x:v>
      </x:c>
    </x:row>
    <x:row r="8">
      <x:c r="A8" s="12" t="str">
        <x:v>P26-BR-007</x:v>
      </x:c>
      <x:c r="B8" s="12" t="str">
        <x:v>Fuel quantity</x:v>
      </x:c>
      <x:c r="C8" s="12" t="str">
        <x:v>Fuel quantity = configured consumption rate × runtime hours × applicable utilization/load factor when defined.</x:v>
      </x:c>
      <x:c r="D8" s="12" t="str">
        <x:v>Blocking</x:v>
      </x:c>
    </x:row>
    <x:row r="9">
      <x:c r="A9" s="12" t="str">
        <x:v>P26-BR-008</x:v>
      </x:c>
      <x:c r="B9" s="12" t="str">
        <x:v>Truck cycle</x:v>
      </x:c>
      <x:c r="C9" s="12" t="str">
        <x:v>Truck cycle = load + outbound haul + dump/queue + return + configured delays.</x:v>
      </x:c>
      <x:c r="D9" s="12" t="str">
        <x:v>Blocking</x:v>
      </x:c>
    </x:row>
    <x:row r="10">
      <x:c r="A10" s="12" t="str">
        <x:v>P26-BR-009</x:v>
      </x:c>
      <x:c r="B10" s="12" t="str">
        <x:v>Truck count balance</x:v>
      </x:c>
      <x:c r="C10" s="12" t="str">
        <x:v>Required truck count is based on loader/source production, truck payload and cycle time, rounded according to configured dispatch policy.</x:v>
      </x:c>
      <x:c r="D10" s="12" t="str">
        <x:v>Blocking</x:v>
      </x:c>
    </x:row>
    <x:row r="11">
      <x:c r="A11" s="12" t="str">
        <x:v>P26-BR-010</x:v>
      </x:c>
      <x:c r="B11" s="12" t="str">
        <x:v>Trip count</x:v>
      </x:c>
      <x:c r="C11" s="12" t="str">
        <x:v>Trips = haul quantity / effective truck payload, rounded up for discrete loads unless partial-load policy permits otherwise.</x:v>
      </x:c>
      <x:c r="D11" s="12" t="str">
        <x:v>Blocking</x:v>
      </x:c>
    </x:row>
    <x:row r="12">
      <x:c r="A12" s="12" t="str">
        <x:v>P26-BR-011</x:v>
      </x:c>
      <x:c r="B12" s="12" t="str">
        <x:v>Haul cost modes</x:v>
      </x:c>
      <x:c r="C12" s="12" t="str">
        <x:v>Haul cost supports cycle/trip-based and hourly modes; shortcut methods are not substituted when trip-based calculation is configured.</x:v>
      </x:c>
      <x:c r="D12" s="12" t="str">
        <x:v>Blocking</x:v>
      </x:c>
    </x:row>
    <x:row r="13">
      <x:c r="A13" s="12" t="str">
        <x:v>P26-BR-012</x:v>
      </x:c>
      <x:c r="B13" s="12" t="str">
        <x:v>Disposal conversion</x:v>
      </x:c>
      <x:c r="C13" s="12" t="str">
        <x:v>Disposal tonnage requires approved density/conversion when source quantity is volumetric.</x:v>
      </x:c>
      <x:c r="D13" s="12" t="str">
        <x:v>Blocking</x:v>
      </x:c>
    </x:row>
    <x:row r="14">
      <x:c r="A14" s="12" t="str">
        <x:v>P26-BR-013</x:v>
      </x:c>
      <x:c r="B14" s="12" t="str">
        <x:v>Material quantity</x:v>
      </x:c>
      <x:c r="C14" s="12" t="str">
        <x:v>Purchase quantity = installed quantity × (1 + waste factor) unless an approved alternate formula applies.</x:v>
      </x:c>
      <x:c r="D14" s="12" t="str">
        <x:v>Blocking</x:v>
      </x:c>
    </x:row>
    <x:row r="15">
      <x:c r="A15" s="12" t="str">
        <x:v>P26-BR-014</x:v>
      </x:c>
      <x:c r="B15" s="12" t="str">
        <x:v>Regional factor</x:v>
      </x:c>
      <x:c r="C15" s="12" t="str">
        <x:v>Regional/location factors apply only to configured cost categories and do not double-adjust explicit vendor/custom quotes.</x:v>
      </x:c>
      <x:c r="D15" s="12" t="str">
        <x:v>Blocking</x:v>
      </x:c>
    </x:row>
    <x:row r="16">
      <x:c r="A16" s="12" t="str">
        <x:v>P26-BR-015</x:v>
      </x:c>
      <x:c r="B16" s="12" t="str">
        <x:v>Markup sequencing</x:v>
      </x:c>
      <x:c r="C16" s="12" t="str">
        <x:v>Markup calculations preserve configured parallel/stacked basis and step order; the engine does not silently change method.</x:v>
      </x:c>
      <x:c r="D16" s="12" t="str">
        <x:v>Blocking</x:v>
      </x:c>
    </x:row>
    <x:row r="17">
      <x:c r="A17" s="12" t="str">
        <x:v>P26-BR-016</x:v>
      </x:c>
      <x:c r="B17" s="12" t="str">
        <x:v>O&amp;P trace</x:v>
      </x:c>
      <x:c r="C17" s="12" t="str">
        <x:v>Overhead and profit are separate governed components even when presented as a combined percentage.</x:v>
      </x:c>
      <x:c r="D17" s="12" t="str">
        <x:v>Blocking</x:v>
      </x:c>
    </x:row>
    <x:row r="18">
      <x:c r="A18" s="12" t="str">
        <x:v>P26-BR-017</x:v>
      </x:c>
      <x:c r="B18" s="12" t="str">
        <x:v>Contingency basis</x:v>
      </x:c>
      <x:c r="C18" s="12" t="str">
        <x:v>Contingency basis and exclusions are explicit and versioned.</x:v>
      </x:c>
      <x:c r="D18" s="12" t="str">
        <x:v>Blocking</x:v>
      </x:c>
    </x:row>
    <x:row r="19">
      <x:c r="A19" s="12" t="str">
        <x:v>P26-BR-018</x:v>
      </x:c>
      <x:c r="B19" s="12" t="str">
        <x:v>Unit sell price</x:v>
      </x:c>
      <x:c r="C19" s="12" t="str">
        <x:v>Unit sell price = sell total / priced quantity for nonzero quantity with controlled rounding.</x:v>
      </x:c>
      <x:c r="D19" s="12" t="str">
        <x:v>Blocking</x:v>
      </x:c>
    </x:row>
    <x:row r="20">
      <x:c r="A20" s="12" t="str">
        <x:v>P26-BR-019</x:v>
      </x:c>
      <x:c r="B20" s="12" t="str">
        <x:v>Low/base/high</x:v>
      </x:c>
      <x:c r="C20" s="12" t="str">
        <x:v>Low/base/high ranges are scenario outputs from explicit assumptions, not arbitrary percentage padding unless configured.</x:v>
      </x:c>
      <x:c r="D20" s="12" t="str">
        <x:v>Blocking</x:v>
      </x:c>
    </x:row>
    <x:row r="21">
      <x:c r="A21" s="12" t="str">
        <x:v>P26-BR-020</x:v>
      </x:c>
      <x:c r="B21" s="12" t="str">
        <x:v>Override audit</x:v>
      </x:c>
      <x:c r="C21" s="12" t="str">
        <x:v>Manual overrides require reason, actor, prior value, new value, scope and audit evidence.</x:v>
      </x:c>
      <x:c r="D21" s="12" t="str">
        <x:v>Blocking</x:v>
      </x:c>
    </x:row>
    <x:row r="22">
      <x:c r="A22" s="12" t="str">
        <x:v>P26-BR-021</x:v>
      </x:c>
      <x:c r="B22" s="12" t="str">
        <x:v>AI advisory</x:v>
      </x:c>
      <x:c r="C22" s="12" t="str">
        <x:v>AI may recommend service mapping, assumptions, risks or crew/equipment alternatives but cannot silently mutate or approve estimate values.</x:v>
      </x:c>
      <x:c r="D22" s="12" t="str">
        <x:v>Blocking</x:v>
      </x:c>
    </x:row>
    <x:row r="23">
      <x:c r="A23" s="12" t="str">
        <x:v>P26-BR-022</x:v>
      </x:c>
      <x:c r="B23" s="12" t="str">
        <x:v>Service writeback</x:v>
      </x:c>
      <x:c r="C23" s="12" t="str">
        <x:v>A new service created during estimating becomes a Phase 25 writeback proposal/draft through governed approval, not an untracked local label.</x:v>
      </x:c>
      <x:c r="D23" s="12" t="str">
        <x:v>Blocking</x:v>
      </x:c>
    </x:row>
    <x:row r="24">
      <x:c r="A24" s="12" t="str">
        <x:v>P26-BR-023</x:v>
      </x:c>
      <x:c r="B24" s="12" t="str">
        <x:v>Estimate freeze</x:v>
      </x:c>
      <x:c r="C24" s="12" t="str">
        <x:v>Approved/frozen estimate versions are immutable; revision creates a new version.</x:v>
      </x:c>
      <x:c r="D24" s="12" t="str">
        <x:v>Blocking</x:v>
      </x:c>
    </x:row>
    <x:row r="25">
      <x:c r="A25" s="12" t="str">
        <x:v>P26-BR-024</x:v>
      </x:c>
      <x:c r="B25" s="12" t="str">
        <x:v>Calculation trace</x:v>
      </x:c>
      <x:c r="C25" s="12" t="str">
        <x:v>Every engine result preserves inputs, formula/rule ID, library versions, units, rounding and output.</x:v>
      </x:c>
      <x:c r="D25" s="12" t="str">
        <x:v>Blocking</x:v>
      </x:c>
    </x:row>
    <x:row r="26">
      <x:c r="A26" s="12" t="str">
        <x:v>P26-BR-025</x:v>
      </x:c>
      <x:c r="B26" s="12" t="str">
        <x:v>Job baseline</x:v>
      </x:c>
      <x:c r="C26" s="12" t="str">
        <x:v>Job-cost/project handoff references the exact approved estimate version and snapshot.</x:v>
      </x:c>
      <x:c r="D26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P26-SEC-001</x:v>
      </x:c>
      <x:c r="B2" s="12" t="str">
        <x:v>Tenant isolation</x:v>
      </x:c>
      <x:c r="C2" s="12" t="str">
        <x:v>Estimate values, vendor quotes, custom rates and overrides cannot cross tenant boundaries.</x:v>
      </x:c>
      <x:c r="D2" s="12" t="str">
        <x:v>Required</x:v>
      </x:c>
    </x:row>
    <x:row r="3">
      <x:c r="A3" s="12" t="str">
        <x:v>P26-SEC-002</x:v>
      </x:c>
      <x:c r="B3" s="12" t="str">
        <x:v>Estimate permissions</x:v>
      </x:c>
      <x:c r="C3" s="12" t="str">
        <x:v>Read/edit/calculate/approve/export/writeback permissions are independently policy controlled.</x:v>
      </x:c>
      <x:c r="D3" s="12" t="str">
        <x:v>Required</x:v>
      </x:c>
    </x:row>
    <x:row r="4">
      <x:c r="A4" s="12" t="str">
        <x:v>P26-SEC-003</x:v>
      </x:c>
      <x:c r="B4" s="12" t="str">
        <x:v>Approval segregation</x:v>
      </x:c>
      <x:c r="C4" s="12" t="str">
        <x:v>Approval policy may prevent estimate preparer from self-approving above configured thresholds.</x:v>
      </x:c>
      <x:c r="D4" s="12" t="str">
        <x:v>Required</x:v>
      </x:c>
    </x:row>
    <x:row r="5">
      <x:c r="A5" s="12" t="str">
        <x:v>P26-SEC-004</x:v>
      </x:c>
      <x:c r="B5" s="12" t="str">
        <x:v>Override authority</x:v>
      </x:c>
      <x:c r="C5" s="12" t="str">
        <x:v>Protected price/rate/markup overrides require explicit entitlement and reason.</x:v>
      </x:c>
      <x:c r="D5" s="12" t="str">
        <x:v>Required</x:v>
      </x:c>
    </x:row>
    <x:row r="6">
      <x:c r="A6" s="12" t="str">
        <x:v>P26-SEC-005</x:v>
      </x:c>
      <x:c r="B6" s="12" t="str">
        <x:v>AI boundary</x:v>
      </x:c>
      <x:c r="C6" s="12" t="str">
        <x:v>AI estimate assistance cannot directly approve, freeze, export as authoritative, or write published library data.</x:v>
      </x:c>
      <x:c r="D6" s="12" t="str">
        <x:v>Required</x:v>
      </x:c>
    </x:row>
    <x:row r="7">
      <x:c r="A7" s="12" t="str">
        <x:v>P26-SEC-006</x:v>
      </x:c>
      <x:c r="B7" s="12" t="str">
        <x:v>Calculation input validation</x:v>
      </x:c>
      <x:c r="C7" s="12" t="str">
        <x:v>Units, numeric ranges and required snapshot references validate before calculation.</x:v>
      </x:c>
      <x:c r="D7" s="12" t="str">
        <x:v>Required</x:v>
      </x:c>
    </x:row>
    <x:row r="8">
      <x:c r="A8" s="12" t="str">
        <x:v>P26-SEC-007</x:v>
      </x:c>
      <x:c r="B8" s="12" t="str">
        <x:v>Quote confidentiality</x:v>
      </x:c>
      <x:c r="C8" s="12" t="str">
        <x:v>Vendor/customer-specific pricing follows role and project permissions.</x:v>
      </x:c>
      <x:c r="D8" s="12" t="str">
        <x:v>Required</x:v>
      </x:c>
    </x:row>
    <x:row r="9">
      <x:c r="A9" s="12" t="str">
        <x:v>P26-SEC-008</x:v>
      </x:c>
      <x:c r="B9" s="12" t="str">
        <x:v>Audit visibility</x:v>
      </x:c>
      <x:c r="C9" s="12" t="str">
        <x:v>Calculation and override audit detail is permission scoped.</x:v>
      </x:c>
      <x:c r="D9" s="12" t="str">
        <x:v>Required</x:v>
      </x:c>
    </x:row>
    <x:row r="10">
      <x:c r="A10" s="12" t="str">
        <x:v>P26-SEC-009</x:v>
      </x:c>
      <x:c r="B10" s="12" t="str">
        <x:v>Frozen immutability</x:v>
      </x:c>
      <x:c r="C10" s="12" t="str">
        <x:v>Approved/frozen estimate versions reject direct mutation.</x:v>
      </x:c>
      <x:c r="D10" s="12" t="str">
        <x:v>Required</x:v>
      </x:c>
    </x:row>
    <x:row r="11">
      <x:c r="A11" s="12" t="str">
        <x:v>P26-SEC-010</x:v>
      </x:c>
      <x:c r="B11" s="12" t="str">
        <x:v>Export authority</x:v>
      </x:c>
      <x:c r="C11" s="12" t="str">
        <x:v>Proposal/job baseline export requires approved scope/status per tenant policy.</x:v>
      </x:c>
      <x:c r="D11" s="12" t="str">
        <x:v>Required</x:v>
      </x:c>
    </x:row>
    <x:row r="12">
      <x:c r="A12" s="12" t="str">
        <x:v>P26-SEC-011</x:v>
      </x:c>
      <x:c r="B12" s="12" t="str">
        <x:v>Service writeback control</x:v>
      </x:c>
      <x:c r="C12" s="12" t="str">
        <x:v>Estimator writeback requires catalog permission and governed review.</x:v>
      </x:c>
      <x:c r="D12" s="12" t="str">
        <x:v>Required</x:v>
      </x:c>
    </x:row>
    <x:row r="13">
      <x:c r="A13" s="12" t="str">
        <x:v>P26-SEC-012</x:v>
      </x:c>
      <x:c r="B13" s="12" t="str">
        <x:v>Evidence access</x:v>
      </x:c>
      <x:c r="C13" s="12" t="str">
        <x:v>Plan/spec/quote evidence follows source document permissions.</x:v>
      </x:c>
      <x:c r="D13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P26-QG-01</x:v>
      </x:c>
      <x:c r="B2" s="12" t="str">
        <x:v>Cost Rollup</x:v>
      </x:c>
      <x:c r="C2" s="12" t="str">
        <x:v>Direct-cost component and total formulas pass golden tests</x:v>
      </x:c>
      <x:c r="D2" s="12" t="str">
        <x:v>Required</x:v>
      </x:c>
    </x:row>
    <x:row r="3">
      <x:c r="A3" s="12" t="str">
        <x:v>P26-QG-02</x:v>
      </x:c>
      <x:c r="B3" s="12" t="str">
        <x:v>Production &amp; Duration</x:v>
      </x:c>
      <x:c r="C3" s="12" t="str">
        <x:v>Production/modifier/duration tests pass</x:v>
      </x:c>
      <x:c r="D3" s="12" t="str">
        <x:v>Required</x:v>
      </x:c>
    </x:row>
    <x:row r="4">
      <x:c r="A4" s="12" t="str">
        <x:v>P26-QG-03</x:v>
      </x:c>
      <x:c r="B4" s="12" t="str">
        <x:v>Crew Labor</x:v>
      </x:c>
      <x:c r="C4" s="12" t="str">
        <x:v>Crew counts and labor-hour rollup tests pass</x:v>
      </x:c>
      <x:c r="D4" s="12" t="str">
        <x:v>Required</x:v>
      </x:c>
    </x:row>
    <x:row r="5">
      <x:c r="A5" s="12" t="str">
        <x:v>P26-QG-04</x:v>
      </x:c>
      <x:c r="B5" s="12" t="str">
        <x:v>Equipment Rate</x:v>
      </x:c>
      <x:c r="C5" s="12" t="str">
        <x:v>Hourly/daily/weekly/monthly selection policy tests pass</x:v>
      </x:c>
      <x:c r="D5" s="12" t="str">
        <x:v>Required</x:v>
      </x:c>
    </x:row>
    <x:row r="6">
      <x:c r="A6" s="12" t="str">
        <x:v>P26-QG-05</x:v>
      </x:c>
      <x:c r="B6" s="12" t="str">
        <x:v>Fuel</x:v>
      </x:c>
      <x:c r="C6" s="12" t="str">
        <x:v>Fuel quantity/cost tests pass</x:v>
      </x:c>
      <x:c r="D6" s="12" t="str">
        <x:v>Required</x:v>
      </x:c>
    </x:row>
    <x:row r="7">
      <x:c r="A7" s="12" t="str">
        <x:v>P26-QG-06</x:v>
      </x:c>
      <x:c r="B7" s="12" t="str">
        <x:v>Truck Cycle/Count</x:v>
      </x:c>
      <x:c r="C7" s="12" t="str">
        <x:v>Cycle, trip and balanced truck count tests pass</x:v>
      </x:c>
      <x:c r="D7" s="12" t="str">
        <x:v>Required</x:v>
      </x:c>
    </x:row>
    <x:row r="8">
      <x:c r="A8" s="12" t="str">
        <x:v>P26-QG-07</x:v>
      </x:c>
      <x:c r="B8" s="12" t="str">
        <x:v>Haul/Disposal</x:v>
      </x:c>
      <x:c r="C8" s="12" t="str">
        <x:v>Trip/hour haul and disposal conversion tests pass</x:v>
      </x:c>
      <x:c r="D8" s="12" t="str">
        <x:v>Required</x:v>
      </x:c>
    </x:row>
    <x:row r="9">
      <x:c r="A9" s="12" t="str">
        <x:v>P26-QG-08</x:v>
      </x:c>
      <x:c r="B9" s="12" t="str">
        <x:v>Markup</x:v>
      </x:c>
      <x:c r="C9" s="12" t="str">
        <x:v>Parallel/stacked/ordered markup golden tests pass</x:v>
      </x:c>
      <x:c r="D9" s="12" t="str">
        <x:v>Required</x:v>
      </x:c>
    </x:row>
    <x:row r="10">
      <x:c r="A10" s="12" t="str">
        <x:v>P26-QG-09</x:v>
      </x:c>
      <x:c r="B10" s="12" t="str">
        <x:v>Snapshot Reproducibility</x:v>
      </x:c>
      <x:c r="C10" s="12" t="str">
        <x:v>Changed live libraries do not change frozen estimate results</x:v>
      </x:c>
      <x:c r="D10" s="12" t="str">
        <x:v>Required</x:v>
      </x:c>
    </x:row>
    <x:row r="11">
      <x:c r="A11" s="12" t="str">
        <x:v>P26-QG-10</x:v>
      </x:c>
      <x:c r="B11" s="12" t="str">
        <x:v>Scenario Compare</x:v>
      </x:c>
      <x:c r="C11" s="12" t="str">
        <x:v>Low/base/high/alternate scenarios preserve explicit assumptions</x:v>
      </x:c>
      <x:c r="D11" s="12" t="str">
        <x:v>Required</x:v>
      </x:c>
    </x:row>
    <x:row r="12">
      <x:c r="A12" s="12" t="str">
        <x:v>P26-QG-11</x:v>
      </x:c>
      <x:c r="B12" s="12" t="str">
        <x:v>AI Boundary</x:v>
      </x:c>
      <x:c r="C12" s="12" t="str">
        <x:v>AI cannot mutate/approve/freeze authoritative estimate state</x:v>
      </x:c>
      <x:c r="D12" s="12" t="str">
        <x:v>Required</x:v>
      </x:c>
    </x:row>
    <x:row r="13">
      <x:c r="A13" s="12" t="str">
        <x:v>P26-QG-12</x:v>
      </x:c>
      <x:c r="B13" s="12" t="str">
        <x:v>Tenant Isolation</x:v>
      </x:c>
      <x:c r="C13" s="12" t="str">
        <x:v>Cross-tenant estimate/rate/quote negative tests pass</x:v>
      </x:c>
      <x:c r="D13" s="12" t="str">
        <x:v>Required</x:v>
      </x:c>
    </x:row>
    <x:row r="14">
      <x:c r="A14" s="12" t="str">
        <x:v>P26-QG-13</x:v>
      </x:c>
      <x:c r="B14" s="12" t="str">
        <x:v>Calculation Trace</x:v>
      </x:c>
      <x:c r="C14" s="12" t="str">
        <x:v>Each engine output carries complete input/rule/version lineage</x:v>
      </x:c>
      <x:c r="D14" s="12" t="str">
        <x:v>Release gate</x:v>
      </x:c>
    </x:row>
    <x:row r="15">
      <x:c r="A15" s="12" t="str">
        <x:v>P26-QG-14</x:v>
      </x:c>
      <x:c r="B15" s="12" t="str">
        <x:v>Estimate-to-Job Handoff</x:v>
      </x:c>
      <x:c r="C15" s="12" t="str">
        <x:v>Approved estimate baseline exports exact version/snapshot</x:v>
      </x:c>
      <x:c r="D15" s="12" t="str">
        <x:v>Release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32" hidden="0" customWidth="1"/>
  </x:cols>
  <x:sheetData>
    <x:row r="1">
      <x:c r="A1" s="6" t="str">
        <x:v>Metric</x:v>
      </x:c>
      <x:c r="B1" s="6" t="str">
        <x:v>Input A</x:v>
      </x:c>
      <x:c r="C1" s="6" t="str">
        <x:v>Input B</x:v>
      </x:c>
      <x:c r="D1" s="6" t="str">
        <x:v>Input C</x:v>
      </x:c>
      <x:c r="E1" s="6" t="str">
        <x:v>Formula Result</x:v>
      </x:c>
      <x:c r="F1" s="6" t="str">
        <x:v>Unit/Note</x:v>
      </x:c>
    </x:row>
    <x:row r="2">
      <x:c r="A2" s="12" t="str">
        <x:v>Duration Hours</x:v>
      </x:c>
      <x:c r="B2" s="12" t="n">
        <x:v>10000</x:v>
      </x:c>
      <x:c r="C2" s="12" t="n">
        <x:v>500</x:v>
      </x:c>
      <x:c r="D2" s="12"/>
      <x:c r="E2" s="12" t="n">
        <x:f>B2/C2</x:f>
        <x:v>20</x:v>
      </x:c>
      <x:c r="F2" s="12" t="str">
        <x:v>CY / (CY/hr)</x:v>
      </x:c>
    </x:row>
    <x:row r="3">
      <x:c r="A3" s="12" t="str">
        <x:v>Crew Labor Hours</x:v>
      </x:c>
      <x:c r="B3" s="12" t="n">
        <x:v>20</x:v>
      </x:c>
      <x:c r="C3" s="12" t="n">
        <x:v>3</x:v>
      </x:c>
      <x:c r="D3" s="12"/>
      <x:c r="E3" s="12" t="n">
        <x:f>B3*C3</x:f>
        <x:v>60</x:v>
      </x:c>
      <x:c r="F3" s="12" t="str">
        <x:v>duration hr * crew count</x:v>
      </x:c>
    </x:row>
    <x:row r="4">
      <x:c r="A4" s="12" t="str">
        <x:v>Labor Cost</x:v>
      </x:c>
      <x:c r="B4" s="12" t="n">
        <x:v>60</x:v>
      </x:c>
      <x:c r="C4" s="12" t="n">
        <x:v>54</x:v>
      </x:c>
      <x:c r="D4" s="12"/>
      <x:c r="E4" s="12" t="n">
        <x:f>B4*C4</x:f>
        <x:v>3240</x:v>
      </x:c>
      <x:c r="F4" s="12" t="str">
        <x:v>labor hr * loaded $/hr</x:v>
      </x:c>
    </x:row>
    <x:row r="5">
      <x:c r="A5" s="12" t="str">
        <x:v>Fuel Quantity</x:v>
      </x:c>
      <x:c r="B5" s="12" t="n">
        <x:v>20</x:v>
      </x:c>
      <x:c r="C5" s="12" t="n">
        <x:v>8</x:v>
      </x:c>
      <x:c r="D5" s="12" t="n">
        <x:v>0.85</x:v>
      </x:c>
      <x:c r="E5" s="12" t="n">
        <x:f>B5*C5*D5</x:f>
        <x:v>136</x:v>
      </x:c>
      <x:c r="F5" s="12" t="str">
        <x:v>runtime hr * gal/hr * load factor</x:v>
      </x:c>
    </x:row>
    <x:row r="6">
      <x:c r="A6" s="12" t="str">
        <x:v>Fuel Cost</x:v>
      </x:c>
      <x:c r="B6" s="12" t="n">
        <x:v>136</x:v>
      </x:c>
      <x:c r="C6" s="12" t="n">
        <x:v>4</x:v>
      </x:c>
      <x:c r="D6" s="12"/>
      <x:c r="E6" s="12" t="n">
        <x:f>B6*C6</x:f>
        <x:v>544</x:v>
      </x:c>
      <x:c r="F6" s="12" t="str">
        <x:v>gal * $/gal</x:v>
      </x:c>
    </x:row>
    <x:row r="7">
      <x:c r="A7" s="12" t="str">
        <x:v>Truck Cycle Minutes</x:v>
      </x:c>
      <x:c r="B7" s="12" t="n">
        <x:v>8</x:v>
      </x:c>
      <x:c r="C7" s="12" t="n">
        <x:v>30</x:v>
      </x:c>
      <x:c r="D7" s="12" t="n">
        <x:v>30</x:v>
      </x:c>
      <x:c r="E7" s="12" t="n">
        <x:f>B7+C7+D7</x:f>
        <x:v>68</x:v>
      </x:c>
      <x:c r="F7" s="12" t="str">
        <x:v>load + outbound + dump/queue + return (return below included separately in formula)</x:v>
      </x:c>
    </x:row>
    <x:row r="8">
      <x:c r="A8" s="12" t="str">
        <x:v>Truck Trips</x:v>
      </x:c>
      <x:c r="B8" s="12" t="n">
        <x:v>10000</x:v>
      </x:c>
      <x:c r="C8" s="12" t="n">
        <x:v>20</x:v>
      </x:c>
      <x:c r="D8" s="12"/>
      <x:c r="E8" s="12" t="n">
        <x:f>ROUNDUP(B8/C8,0)</x:f>
        <x:v>500</x:v>
      </x:c>
      <x:c r="F8" s="12" t="str">
        <x:v>ceil(CY / CY/load)</x:v>
      </x:c>
    </x:row>
    <x:row r="9">
      <x:c r="A9" s="12" t="str">
        <x:v>Truck Count</x:v>
      </x:c>
      <x:c r="B9" s="12" t="n">
        <x:v>500</x:v>
      </x:c>
      <x:c r="C9" s="12" t="n">
        <x:v>20</x:v>
      </x:c>
      <x:c r="D9" s="12" t="n">
        <x:v>75</x:v>
      </x:c>
      <x:c r="E9" s="12" t="n">
        <x:f>MAX(1,ROUNDUP(B9*(D9/60)/C9,0))</x:f>
        <x:v>32</x:v>
      </x:c>
      <x:c r="F9" s="12" t="str">
        <x:v>ceil(source CY/hr * cycle hr / payload CY)</x:v>
      </x:c>
    </x:row>
    <x:row r="10">
      <x:c r="A10" s="12" t="str">
        <x:v>Material Purchase Qty</x:v>
      </x:c>
      <x:c r="B10" s="12" t="n">
        <x:v>1000</x:v>
      </x:c>
      <x:c r="C10" s="12" t="n">
        <x:v>0.05</x:v>
      </x:c>
      <x:c r="D10" s="12"/>
      <x:c r="E10" s="12" t="n">
        <x:f>B10*(1+C10)</x:f>
        <x:v>1050</x:v>
      </x:c>
      <x:c r="F10" s="12" t="str">
        <x:v>installed * (1+waste)</x:v>
      </x:c>
    </x:row>
    <x:row r="11">
      <x:c r="A11" s="12" t="str">
        <x:v>Material Cost</x:v>
      </x:c>
      <x:c r="B11" s="12" t="n">
        <x:v>1050</x:v>
      </x:c>
      <x:c r="C11" s="12" t="n">
        <x:v>20</x:v>
      </x:c>
      <x:c r="D11" s="12" t="n">
        <x:v>500</x:v>
      </x:c>
      <x:c r="E11" s="12" t="n">
        <x:f>B11*C11+D11</x:f>
        <x:v>21500</x:v>
      </x:c>
      <x:c r="F11" s="12" t="str">
        <x:v>qty*$ + freight</x:v>
      </x:c>
    </x:row>
    <x:row r="12">
      <x:c r="A12" s="12" t="str">
        <x:v>Unit Sell Price</x:v>
      </x:c>
      <x:c r="B12" s="12" t="n">
        <x:v>120000</x:v>
      </x:c>
      <x:c r="C12" s="12" t="n">
        <x:v>10000</x:v>
      </x:c>
      <x:c r="D12" s="12"/>
      <x:c r="E12" s="12" t="n">
        <x:f>B12/C12</x:f>
        <x:v>12</x:v>
      </x:c>
      <x:c r="F12" s="12" t="str">
        <x:v>sell / quantity</x:v>
      </x:c>
    </x:row>
  </x:sheetData>
  <x:pageMargins left="0.7" right="0.7" top="0.75" bottom="0.75" header="0.3" footer="0.3"/>
</x:worksheet>
</file>